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G:\Buchausleihe Admins\2026\02 - Bestand und Bestellungen\"/>
    </mc:Choice>
  </mc:AlternateContent>
  <xr:revisionPtr revIDLastSave="0" documentId="13_ncr:1_{53CBBA82-7BC3-4B39-A7A1-8AE8D5F0A268}" xr6:coauthVersionLast="36" xr6:coauthVersionMax="47" xr10:uidLastSave="{00000000-0000-0000-0000-000000000000}"/>
  <bookViews>
    <workbookView xWindow="-108" yWindow="-108" windowWidth="23256" windowHeight="12576" tabRatio="601" xr2:uid="{00000000-000D-0000-FFFF-FFFF00000000}"/>
  </bookViews>
  <sheets>
    <sheet name="Bestand- und Nachbestellung" sheetId="1" r:id="rId1"/>
    <sheet name="zu Bestellen" sheetId="2" r:id="rId2"/>
    <sheet name="bestellt" sheetId="3" r:id="rId3"/>
    <sheet name="erhalten" sheetId="4" r:id="rId4"/>
  </sheets>
  <calcPr calcId="191029"/>
</workbook>
</file>

<file path=xl/calcChain.xml><?xml version="1.0" encoding="utf-8"?>
<calcChain xmlns="http://schemas.openxmlformats.org/spreadsheetml/2006/main">
  <c r="H42" i="4" l="1"/>
  <c r="H24" i="4"/>
  <c r="H35" i="4"/>
  <c r="H39" i="4"/>
  <c r="H16" i="4"/>
  <c r="H6" i="4"/>
  <c r="H5" i="3" l="1"/>
  <c r="H6" i="3"/>
  <c r="H7" i="3"/>
  <c r="H2" i="3"/>
  <c r="H3" i="3"/>
  <c r="H4" i="3"/>
  <c r="H7" i="4" l="1"/>
  <c r="H5" i="4"/>
  <c r="H20" i="4"/>
  <c r="H19" i="4"/>
  <c r="H18" i="4"/>
  <c r="H17" i="4"/>
  <c r="H15" i="4"/>
  <c r="H14" i="4"/>
  <c r="L5" i="4" s="1"/>
  <c r="M5" i="4" s="1"/>
  <c r="H13" i="4"/>
  <c r="H10" i="4"/>
  <c r="H12" i="4"/>
  <c r="H11" i="4"/>
  <c r="L4" i="4" s="1"/>
  <c r="M4" i="4" s="1"/>
  <c r="H9" i="4"/>
  <c r="H8" i="4"/>
  <c r="H22" i="4"/>
  <c r="H33" i="4"/>
  <c r="H32" i="4"/>
  <c r="H27" i="4"/>
  <c r="H36" i="4"/>
  <c r="H34" i="4"/>
  <c r="H21" i="4"/>
  <c r="H31" i="4"/>
  <c r="H30" i="4"/>
  <c r="L13" i="4"/>
  <c r="M13" i="4" s="1"/>
  <c r="K13" i="4"/>
  <c r="H29" i="4"/>
  <c r="L12" i="4"/>
  <c r="M12" i="4" s="1"/>
  <c r="K12" i="4"/>
  <c r="H26" i="4"/>
  <c r="L11" i="4"/>
  <c r="M11" i="4" s="1"/>
  <c r="K11" i="4"/>
  <c r="H28" i="4"/>
  <c r="L10" i="4"/>
  <c r="M10" i="4" s="1"/>
  <c r="K10" i="4"/>
  <c r="H25" i="4"/>
  <c r="L9" i="4"/>
  <c r="M9" i="4" s="1"/>
  <c r="K9" i="4"/>
  <c r="H23" i="4"/>
  <c r="L8" i="4"/>
  <c r="M8" i="4" s="1"/>
  <c r="K8" i="4"/>
  <c r="H40" i="4"/>
  <c r="K7" i="4"/>
  <c r="H38" i="4"/>
  <c r="K6" i="4"/>
  <c r="H37" i="4"/>
  <c r="K5" i="4"/>
  <c r="H41" i="4"/>
  <c r="K4" i="4"/>
  <c r="H4" i="4"/>
  <c r="K3" i="4"/>
  <c r="H3" i="4"/>
  <c r="K2" i="4"/>
  <c r="H2" i="4"/>
  <c r="L2" i="4" s="1"/>
  <c r="L12" i="3"/>
  <c r="M12" i="3" s="1"/>
  <c r="K12" i="3"/>
  <c r="L11" i="3"/>
  <c r="M11" i="3" s="1"/>
  <c r="K11" i="3"/>
  <c r="L10" i="3"/>
  <c r="M10" i="3" s="1"/>
  <c r="K10" i="3"/>
  <c r="L9" i="3"/>
  <c r="M9" i="3" s="1"/>
  <c r="K9" i="3"/>
  <c r="L8" i="3"/>
  <c r="M8" i="3" s="1"/>
  <c r="K8" i="3"/>
  <c r="K7" i="3"/>
  <c r="H8" i="3"/>
  <c r="K6" i="3"/>
  <c r="K5" i="3"/>
  <c r="K4" i="3"/>
  <c r="L6" i="3"/>
  <c r="M6" i="3" s="1"/>
  <c r="L3" i="3"/>
  <c r="M3" i="3" s="1"/>
  <c r="K3" i="3"/>
  <c r="L5" i="3"/>
  <c r="M5" i="3" s="1"/>
  <c r="L2" i="3"/>
  <c r="M2" i="3" s="1"/>
  <c r="K2" i="3"/>
  <c r="L4" i="3"/>
  <c r="M7" i="2"/>
  <c r="N7" i="2" s="1"/>
  <c r="L7" i="2"/>
  <c r="D7" i="2"/>
  <c r="M6" i="2"/>
  <c r="N6" i="2" s="1"/>
  <c r="L6" i="2"/>
  <c r="I6" i="2"/>
  <c r="M5" i="2"/>
  <c r="N5" i="2" s="1"/>
  <c r="L5" i="2"/>
  <c r="I5" i="2"/>
  <c r="L4" i="2"/>
  <c r="I4" i="2"/>
  <c r="M3" i="2"/>
  <c r="N3" i="2" s="1"/>
  <c r="L3" i="2"/>
  <c r="I3" i="2"/>
  <c r="M2" i="2"/>
  <c r="L2" i="2"/>
  <c r="I2" i="2"/>
  <c r="Q13" i="1"/>
  <c r="BE12" i="1"/>
  <c r="BA12" i="1"/>
  <c r="AO12" i="1"/>
  <c r="AK12" i="1"/>
  <c r="AG12" i="1"/>
  <c r="AC12" i="1"/>
  <c r="Y12" i="1"/>
  <c r="U12" i="1"/>
  <c r="Q12" i="1"/>
  <c r="I12" i="1"/>
  <c r="AW9" i="1"/>
  <c r="AO9" i="1"/>
  <c r="AK9" i="1"/>
  <c r="AC9" i="1"/>
  <c r="Y9" i="1"/>
  <c r="U9" i="1"/>
  <c r="Q9" i="1"/>
  <c r="M9" i="1"/>
  <c r="I9" i="1"/>
  <c r="E9" i="1"/>
  <c r="BI8" i="1"/>
  <c r="AK8" i="1"/>
  <c r="U8" i="1"/>
  <c r="I8" i="1"/>
  <c r="E8" i="1"/>
  <c r="BI7" i="1"/>
  <c r="AW7" i="1"/>
  <c r="AS7" i="1"/>
  <c r="AO7" i="1"/>
  <c r="AK7" i="1"/>
  <c r="AG7" i="1"/>
  <c r="AC7" i="1"/>
  <c r="Y7" i="1"/>
  <c r="U7" i="1"/>
  <c r="Q7" i="1"/>
  <c r="M7" i="1"/>
  <c r="I7" i="1"/>
  <c r="E7" i="1"/>
  <c r="BI6" i="1"/>
  <c r="AK6" i="1"/>
  <c r="U6" i="1"/>
  <c r="I6" i="1"/>
  <c r="E6" i="1"/>
  <c r="BI5" i="1"/>
  <c r="AW5" i="1"/>
  <c r="AS5" i="1"/>
  <c r="AO5" i="1"/>
  <c r="AK5" i="1"/>
  <c r="AC5" i="1"/>
  <c r="Y5" i="1"/>
  <c r="Q5" i="1"/>
  <c r="M5" i="1"/>
  <c r="I5" i="1"/>
  <c r="E5" i="1"/>
  <c r="BI4" i="1"/>
  <c r="BE4" i="1"/>
  <c r="BA4" i="1"/>
  <c r="AK4" i="1"/>
  <c r="Q4" i="1"/>
  <c r="I4" i="1"/>
  <c r="E4" i="1"/>
  <c r="AW3" i="1"/>
  <c r="AS3" i="1"/>
  <c r="AO3" i="1"/>
  <c r="AK3" i="1"/>
  <c r="AC3" i="1"/>
  <c r="Y3" i="1"/>
  <c r="Q3" i="1"/>
  <c r="M3" i="1"/>
  <c r="I3" i="1"/>
  <c r="E3" i="1"/>
  <c r="L6" i="4" l="1"/>
  <c r="M6" i="4" s="1"/>
  <c r="L3" i="4"/>
  <c r="M3" i="4" s="1"/>
  <c r="L7" i="4"/>
  <c r="M7" i="4" s="1"/>
  <c r="L8" i="2"/>
  <c r="L7" i="3"/>
  <c r="M7" i="3" s="1"/>
  <c r="K14" i="4"/>
  <c r="K13" i="3"/>
  <c r="M2" i="4"/>
  <c r="M4" i="3"/>
  <c r="N2" i="2"/>
  <c r="I7" i="2"/>
  <c r="M4" i="2"/>
  <c r="L14" i="4" l="1"/>
  <c r="M14" i="4" s="1"/>
  <c r="L13" i="3"/>
  <c r="M13" i="3" s="1"/>
  <c r="N4" i="2"/>
  <c r="M8" i="2"/>
  <c r="N8" i="2" s="1"/>
</calcChain>
</file>

<file path=xl/sharedStrings.xml><?xml version="1.0" encoding="utf-8"?>
<sst xmlns="http://schemas.openxmlformats.org/spreadsheetml/2006/main" count="300" uniqueCount="149">
  <si>
    <t>Fach</t>
  </si>
  <si>
    <t>Deutsch</t>
  </si>
  <si>
    <t>Englisch</t>
  </si>
  <si>
    <t>Erdkunde</t>
  </si>
  <si>
    <t>Geschichte</t>
  </si>
  <si>
    <t>Politik</t>
  </si>
  <si>
    <t>Biologie</t>
  </si>
  <si>
    <t>Chemie</t>
  </si>
  <si>
    <t>Informatik</t>
  </si>
  <si>
    <t>Mathematik</t>
  </si>
  <si>
    <t>Physik</t>
  </si>
  <si>
    <t>Religion</t>
  </si>
  <si>
    <t>Werte und Normen</t>
  </si>
  <si>
    <t>Französisch</t>
  </si>
  <si>
    <t>Latein</t>
  </si>
  <si>
    <t>Spanisch</t>
  </si>
  <si>
    <t>Zustand</t>
  </si>
  <si>
    <t>Angemeldet</t>
  </si>
  <si>
    <t>Bestand</t>
  </si>
  <si>
    <t>Bestellt</t>
  </si>
  <si>
    <t>zu bestellen</t>
  </si>
  <si>
    <t>Jahrgang 5</t>
  </si>
  <si>
    <t>Jahrgang 6</t>
  </si>
  <si>
    <t>Einjahresbände inventarisiert + LA</t>
  </si>
  <si>
    <t>Jahrgang 7</t>
  </si>
  <si>
    <t>Jahrgang 8</t>
  </si>
  <si>
    <t>Einjahresbände inventarisiert</t>
  </si>
  <si>
    <t>Jahrgang 9</t>
  </si>
  <si>
    <t>Jahrgang 10</t>
  </si>
  <si>
    <t>Jahrgang 11</t>
  </si>
  <si>
    <t>Politik (eA)</t>
  </si>
  <si>
    <t>Politik (gA)</t>
  </si>
  <si>
    <t>Mathematik (eA)</t>
  </si>
  <si>
    <t>Mathematik (gA)</t>
  </si>
  <si>
    <t>Sport (Bewegung)</t>
  </si>
  <si>
    <t>Sport (Training)</t>
  </si>
  <si>
    <t>Jahrgang 12</t>
  </si>
  <si>
    <t>Jahrgang 13</t>
  </si>
  <si>
    <t>s. Politik (eA)</t>
  </si>
  <si>
    <t>Stand</t>
  </si>
  <si>
    <t>Bestell Nr.</t>
  </si>
  <si>
    <t>Jahrgang</t>
  </si>
  <si>
    <t>Stückzahl</t>
  </si>
  <si>
    <t>Verfasser/Titel</t>
  </si>
  <si>
    <t>Verlag</t>
  </si>
  <si>
    <t>Best.-Nr. (ISBN)</t>
  </si>
  <si>
    <t>Einzelpreis (brutto)</t>
  </si>
  <si>
    <t>Gesamtpreis (brutto)</t>
  </si>
  <si>
    <t>Bestell Lfd. Nr.</t>
  </si>
  <si>
    <t>Gesamtpreis</t>
  </si>
  <si>
    <t>Das waren Zeiten 1 - Neue Ausgabe Nds.</t>
  </si>
  <si>
    <t>Buchner</t>
  </si>
  <si>
    <t>978-3-661-31051-0</t>
  </si>
  <si>
    <t>Deutschbuch 6 Gymnasium Nds. - Neue Ausgabe</t>
  </si>
  <si>
    <t>Cornelsen</t>
  </si>
  <si>
    <t>978-3-06-205223-1</t>
  </si>
  <si>
    <t>Green Line 2 (Neuauflage)</t>
  </si>
  <si>
    <t>Klett</t>
  </si>
  <si>
    <t>978-3-12-864020-4</t>
  </si>
  <si>
    <t>Kolleg Werte und Normen - Nds (11/12)</t>
  </si>
  <si>
    <t>978-3-661-21000-1</t>
  </si>
  <si>
    <t>LebensWert 2</t>
  </si>
  <si>
    <t>978-3-661-21102-2</t>
  </si>
  <si>
    <t>Ergebnis</t>
  </si>
  <si>
    <t>Summe:</t>
  </si>
  <si>
    <t>B. Lfd.-Nr.</t>
  </si>
  <si>
    <t>Lfd. Nr.</t>
  </si>
  <si>
    <t>Das waren Zeiten - Neue Ausgabe Band 3</t>
  </si>
  <si>
    <t>978-3-661-31053-4</t>
  </si>
  <si>
    <t>Lambacher Schweizer 5</t>
  </si>
  <si>
    <t>978-3-12-733501-9</t>
  </si>
  <si>
    <t>Universum Physik</t>
  </si>
  <si>
    <t>978-3-06-011299-9</t>
  </si>
  <si>
    <t>Lambacher Schweizer 8</t>
  </si>
  <si>
    <t>978-3-12-733531-6</t>
  </si>
  <si>
    <t>Elemente Chemie Oberstufe, Ausgabe Niedersachsen Klassen 11-13 G9</t>
  </si>
  <si>
    <t>978-3-12-756891-2</t>
  </si>
  <si>
    <t>Das waren Zeiten 1</t>
  </si>
  <si>
    <t xml:space="preserve">978-3-661-31051-0  </t>
  </si>
  <si>
    <t xml:space="preserve">Politik &amp; Co - Niedersachsen 8  </t>
  </si>
  <si>
    <t xml:space="preserve">978-3-661-71105-8 </t>
  </si>
  <si>
    <t>Kolleg Politik u. Wir. Ni Q 13</t>
  </si>
  <si>
    <t xml:space="preserve">978-3-661-72094-4 </t>
  </si>
  <si>
    <t>Lebenswert 3 (Neuauflage)</t>
  </si>
  <si>
    <t>978-3-661-21103-9</t>
  </si>
  <si>
    <t xml:space="preserve">Kolleg Werte und Normen - Nds </t>
  </si>
  <si>
    <t>Terra 3 (Neuauflage)</t>
  </si>
  <si>
    <t>978-3-12-105209-7</t>
  </si>
  <si>
    <t>Green Line Oberstufe (Neuauflage)</t>
  </si>
  <si>
    <t>978-3-12-550004-4</t>
  </si>
  <si>
    <t>Universum Physik (Schülerband 12/13)</t>
  </si>
  <si>
    <t>978-3-06-011308-8</t>
  </si>
  <si>
    <t>Bioskop SI 9/10 Nds G9</t>
  </si>
  <si>
    <t>Westermann</t>
  </si>
  <si>
    <t>978-3-14-150622-8</t>
  </si>
  <si>
    <t>Bioskop SI Schülerband 5/6 NDS G9</t>
  </si>
  <si>
    <t>978-3-14-150620-4</t>
  </si>
  <si>
    <t>Gelbe Reihe: Bewegungslehre</t>
  </si>
  <si>
    <t>978-3-507-10094-7</t>
  </si>
  <si>
    <t>Gelbe Reihe: Trainingslehre</t>
  </si>
  <si>
    <t>978-3-507-10092-3</t>
  </si>
  <si>
    <t>bioskop SII - Ausgabe 2022 für Niedersachsen, Qualifikationsphase Schülerband</t>
  </si>
  <si>
    <t>978-3-14-150833-8</t>
  </si>
  <si>
    <t>Deutschbuch Gymnasium Nds.</t>
  </si>
  <si>
    <t>978-3-06-205222-4</t>
  </si>
  <si>
    <t>Vamos! Adelante! 3</t>
  </si>
  <si>
    <t>978-3-12-536040-2</t>
  </si>
  <si>
    <t>Bioskop SI 7/8 Niedersachsen G9</t>
  </si>
  <si>
    <t>978-3-14-150633-4</t>
  </si>
  <si>
    <t>Terra 2 (Neuauflage)</t>
  </si>
  <si>
    <t>978-3-12-105208-0</t>
  </si>
  <si>
    <t>Green Line 4 (Neuauflage)</t>
  </si>
  <si>
    <t>978-3-12-864040-2</t>
  </si>
  <si>
    <t>Deutschbuch Gymnasium Niedersachsen, Ausgabe 2019</t>
  </si>
  <si>
    <t>978-3-06-205225-5</t>
  </si>
  <si>
    <t>C.C. Buchner</t>
  </si>
  <si>
    <t>Kolleg Politik und Wirtschaft, Niedersachsen, Erhöhtes Anforderungsniveau, Qualifikationsstufe 12</t>
  </si>
  <si>
    <t>978-3-661-72093-7</t>
  </si>
  <si>
    <t>Mathematik Neue Wege SII, Ausgabe 2017 für Niedersachsen (für eA)</t>
  </si>
  <si>
    <t>Schroedel</t>
  </si>
  <si>
    <t>978-3-507-88743-5</t>
  </si>
  <si>
    <t>Mathematik Neue Wege SII, Ausgabe 2017 für Niedersachsen (für gA)</t>
  </si>
  <si>
    <t>978-3-507-88736-7</t>
  </si>
  <si>
    <t>Dorn-Bader Physik 5/6</t>
  </si>
  <si>
    <t>978-3-507-86770-3</t>
  </si>
  <si>
    <t>Elemente Chemie 5/6, Nds. G9</t>
  </si>
  <si>
    <t>978-3-12-756331-3</t>
  </si>
  <si>
    <t>Green Line 1 (Neuauflage)</t>
  </si>
  <si>
    <t>978-3-12-864010-5</t>
  </si>
  <si>
    <t>Moment mal! 1</t>
  </si>
  <si>
    <t>978-3-12-006608-8</t>
  </si>
  <si>
    <t>Terra 1 (Neuauflage)</t>
  </si>
  <si>
    <t>978-3-12-105207-3</t>
  </si>
  <si>
    <t>Découvertes 1, Jg. 6</t>
  </si>
  <si>
    <t>978-3-12-624011-6</t>
  </si>
  <si>
    <t>Vamos! Adelante! Band 1 (Neuauflage)</t>
  </si>
  <si>
    <t>978-3-12-537400-3</t>
  </si>
  <si>
    <t>Politik &amp; Co - Niedersachsen 8</t>
  </si>
  <si>
    <t>C. C. Buchner</t>
  </si>
  <si>
    <t>978-3-661-71105-8</t>
  </si>
  <si>
    <t>Green Line 2 Neuauflage</t>
  </si>
  <si>
    <t>Green Line 6 Neuauflage</t>
  </si>
  <si>
    <t>978-3-12-874060-7</t>
  </si>
  <si>
    <t>Lebenswert 2</t>
  </si>
  <si>
    <t>Politik &amp; Co. 9/10</t>
  </si>
  <si>
    <t xml:space="preserve">978-3-661-71106-5 </t>
  </si>
  <si>
    <t>Vamos Adelante 3 (Neuaufl.)</t>
  </si>
  <si>
    <t xml:space="preserve">978-3-12-537420-1 </t>
  </si>
  <si>
    <t xml:space="preserve">Deutschbuch 6 Gymn.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</si>
</sst>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0\ &quot;€&quot;"/>
    <numFmt numFmtId="166" formatCode="dddd\,\ dd/mm/yyyy\ hh:mm:ss"/>
    <numFmt numFmtId="167" formatCode="dddd\,\ dd\.mm\.yyyy\ hh:mm:ss"/>
    <numFmt numFmtId="168" formatCode="_-* #,##0.00&quot; €&quot;_-;\-* #,##0.00&quot; €&quot;_-;_-* \-??&quot; €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4D5C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DB5"/>
        <bgColor indexed="64"/>
      </patternFill>
    </fill>
  </fills>
  <borders count="57">
    <border>
      <left/>
      <right/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dash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7">
    <xf numFmtId="0" fontId="0" fillId="0" borderId="0"/>
    <xf numFmtId="0" fontId="2" fillId="0" borderId="0"/>
    <xf numFmtId="168" fontId="2" fillId="0" borderId="0"/>
    <xf numFmtId="164" fontId="3" fillId="0" borderId="0"/>
    <xf numFmtId="0" fontId="4" fillId="3" borderId="0"/>
    <xf numFmtId="0" fontId="5" fillId="4" borderId="0"/>
    <xf numFmtId="0" fontId="6" fillId="5" borderId="0"/>
  </cellStyleXfs>
  <cellXfs count="94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 applyAlignment="1">
      <alignment textRotation="90"/>
    </xf>
    <xf numFmtId="0" fontId="0" fillId="0" borderId="3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21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6" xfId="0" applyBorder="1" applyAlignment="1">
      <alignment textRotation="90"/>
    </xf>
    <xf numFmtId="0" fontId="0" fillId="0" borderId="7" xfId="0" applyBorder="1" applyAlignment="1">
      <alignment textRotation="90"/>
    </xf>
    <xf numFmtId="0" fontId="0" fillId="0" borderId="9" xfId="0" applyBorder="1" applyAlignment="1">
      <alignment textRotation="90"/>
    </xf>
    <xf numFmtId="0" fontId="0" fillId="0" borderId="11" xfId="0" applyBorder="1" applyAlignment="1">
      <alignment textRotation="90"/>
    </xf>
    <xf numFmtId="0" fontId="0" fillId="0" borderId="27" xfId="0" applyBorder="1" applyAlignment="1">
      <alignment textRotation="90"/>
    </xf>
    <xf numFmtId="0" fontId="0" fillId="0" borderId="28" xfId="0" applyBorder="1"/>
    <xf numFmtId="0" fontId="0" fillId="0" borderId="25" xfId="0" applyBorder="1"/>
    <xf numFmtId="0" fontId="0" fillId="0" borderId="30" xfId="0" applyBorder="1"/>
    <xf numFmtId="0" fontId="0" fillId="0" borderId="33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36" xfId="0" applyBorder="1"/>
    <xf numFmtId="0" fontId="0" fillId="0" borderId="3" xfId="0" applyBorder="1" applyAlignment="1">
      <alignment vertical="center"/>
    </xf>
    <xf numFmtId="0" fontId="0" fillId="0" borderId="41" xfId="0" applyBorder="1"/>
    <xf numFmtId="0" fontId="0" fillId="0" borderId="3" xfId="0" applyBorder="1"/>
    <xf numFmtId="0" fontId="0" fillId="0" borderId="40" xfId="0" applyBorder="1" applyAlignment="1">
      <alignment vertical="center"/>
    </xf>
    <xf numFmtId="0" fontId="0" fillId="0" borderId="47" xfId="0" applyBorder="1"/>
    <xf numFmtId="0" fontId="0" fillId="0" borderId="49" xfId="0" applyBorder="1"/>
    <xf numFmtId="0" fontId="0" fillId="0" borderId="48" xfId="0" applyBorder="1"/>
    <xf numFmtId="0" fontId="0" fillId="0" borderId="3" xfId="0" applyBorder="1" applyAlignment="1">
      <alignment horizontal="right" vertical="center"/>
    </xf>
    <xf numFmtId="0" fontId="0" fillId="0" borderId="7" xfId="0" applyBorder="1"/>
    <xf numFmtId="0" fontId="1" fillId="2" borderId="51" xfId="0" applyFont="1" applyFill="1" applyBorder="1"/>
    <xf numFmtId="0" fontId="1" fillId="2" borderId="53" xfId="0" applyFont="1" applyFill="1" applyBorder="1"/>
    <xf numFmtId="2" fontId="0" fillId="0" borderId="0" xfId="3" applyNumberFormat="1" applyFont="1" applyAlignment="1">
      <alignment horizontal="right"/>
    </xf>
    <xf numFmtId="0" fontId="1" fillId="2" borderId="51" xfId="3" applyNumberFormat="1" applyFont="1" applyFill="1" applyBorder="1" applyAlignment="1">
      <alignment horizontal="left"/>
    </xf>
    <xf numFmtId="2" fontId="0" fillId="0" borderId="0" xfId="0" applyNumberFormat="1" applyAlignment="1">
      <alignment horizontal="right"/>
    </xf>
    <xf numFmtId="0" fontId="7" fillId="6" borderId="4" xfId="0" applyFont="1" applyFill="1" applyBorder="1" applyAlignment="1">
      <alignment horizontal="right" vertical="center"/>
    </xf>
    <xf numFmtId="0" fontId="7" fillId="6" borderId="10" xfId="0" applyFont="1" applyFill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8" fillId="0" borderId="0" xfId="0" applyFont="1"/>
    <xf numFmtId="0" fontId="8" fillId="0" borderId="0" xfId="4" applyFont="1" applyFill="1"/>
    <xf numFmtId="0" fontId="8" fillId="0" borderId="0" xfId="6" applyFont="1" applyFill="1"/>
    <xf numFmtId="0" fontId="8" fillId="0" borderId="0" xfId="5" applyFont="1" applyFill="1"/>
    <xf numFmtId="9" fontId="0" fillId="0" borderId="0" xfId="0" applyNumberFormat="1"/>
    <xf numFmtId="165" fontId="0" fillId="0" borderId="0" xfId="0" applyNumberFormat="1"/>
    <xf numFmtId="165" fontId="1" fillId="2" borderId="51" xfId="0" applyNumberFormat="1" applyFont="1" applyFill="1" applyBorder="1"/>
    <xf numFmtId="165" fontId="1" fillId="2" borderId="52" xfId="0" applyNumberFormat="1" applyFont="1" applyFill="1" applyBorder="1"/>
    <xf numFmtId="166" fontId="0" fillId="0" borderId="0" xfId="0" applyNumberFormat="1"/>
    <xf numFmtId="0" fontId="0" fillId="0" borderId="54" xfId="0" applyBorder="1"/>
    <xf numFmtId="0" fontId="0" fillId="0" borderId="56" xfId="0" applyBorder="1"/>
    <xf numFmtId="166" fontId="0" fillId="0" borderId="56" xfId="0" applyNumberFormat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33" xfId="0" applyBorder="1"/>
    <xf numFmtId="0" fontId="0" fillId="0" borderId="32" xfId="0" applyBorder="1"/>
    <xf numFmtId="0" fontId="0" fillId="0" borderId="0" xfId="0"/>
    <xf numFmtId="0" fontId="1" fillId="2" borderId="51" xfId="0" applyNumberFormat="1" applyFont="1" applyFill="1" applyBorder="1"/>
    <xf numFmtId="0" fontId="1" fillId="2" borderId="52" xfId="0" applyNumberFormat="1" applyFont="1" applyFill="1" applyBorder="1"/>
    <xf numFmtId="0" fontId="0" fillId="0" borderId="5" xfId="0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1" xfId="0" applyBorder="1" applyAlignment="1">
      <alignment horizontal="right" vertical="center"/>
    </xf>
    <xf numFmtId="0" fontId="0" fillId="0" borderId="9" xfId="0" applyBorder="1"/>
    <xf numFmtId="0" fontId="0" fillId="0" borderId="4" xfId="0" applyBorder="1" applyAlignment="1">
      <alignment horizontal="right" vertical="center"/>
    </xf>
    <xf numFmtId="0" fontId="0" fillId="0" borderId="11" xfId="0" applyBorder="1"/>
    <xf numFmtId="0" fontId="0" fillId="0" borderId="23" xfId="0" applyBorder="1"/>
    <xf numFmtId="0" fontId="0" fillId="0" borderId="46" xfId="0" applyBorder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0" fillId="0" borderId="43" xfId="0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45" xfId="0" applyBorder="1" applyAlignment="1">
      <alignment horizontal="right" vertical="center"/>
    </xf>
    <xf numFmtId="0" fontId="0" fillId="0" borderId="31" xfId="0" applyBorder="1"/>
    <xf numFmtId="0" fontId="0" fillId="0" borderId="29" xfId="0" applyBorder="1" applyAlignment="1">
      <alignment horizontal="center"/>
    </xf>
    <xf numFmtId="0" fontId="0" fillId="0" borderId="39" xfId="0" applyBorder="1"/>
    <xf numFmtId="0" fontId="0" fillId="0" borderId="2" xfId="0" applyBorder="1" applyAlignment="1">
      <alignment horizontal="right" vertical="center"/>
    </xf>
    <xf numFmtId="0" fontId="0" fillId="0" borderId="24" xfId="0" applyBorder="1"/>
    <xf numFmtId="0" fontId="0" fillId="0" borderId="35" xfId="0" applyBorder="1"/>
    <xf numFmtId="167" fontId="0" fillId="0" borderId="55" xfId="0" applyNumberFormat="1" applyBorder="1" applyAlignment="1">
      <alignment horizontal="center"/>
    </xf>
    <xf numFmtId="0" fontId="0" fillId="0" borderId="33" xfId="0" applyBorder="1"/>
    <xf numFmtId="0" fontId="0" fillId="0" borderId="32" xfId="0" applyBorder="1"/>
    <xf numFmtId="0" fontId="0" fillId="0" borderId="14" xfId="0" applyBorder="1"/>
    <xf numFmtId="0" fontId="0" fillId="0" borderId="0" xfId="0"/>
    <xf numFmtId="0" fontId="0" fillId="0" borderId="15" xfId="0" applyBorder="1"/>
    <xf numFmtId="0" fontId="0" fillId="0" borderId="44" xfId="0" applyBorder="1" applyAlignment="1">
      <alignment horizontal="right" vertical="center"/>
    </xf>
    <xf numFmtId="0" fontId="0" fillId="0" borderId="50" xfId="0" applyBorder="1"/>
    <xf numFmtId="0" fontId="0" fillId="0" borderId="4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2" xfId="0" applyBorder="1"/>
    <xf numFmtId="0" fontId="0" fillId="0" borderId="42" xfId="0" applyBorder="1"/>
    <xf numFmtId="0" fontId="0" fillId="0" borderId="46" xfId="0" applyBorder="1" applyAlignment="1">
      <alignment horizontal="center" vertical="center"/>
    </xf>
  </cellXfs>
  <cellStyles count="7">
    <cellStyle name="Gut" xfId="4" builtinId="26"/>
    <cellStyle name="Komma" xfId="3" builtinId="3"/>
    <cellStyle name="Neutral" xfId="6" builtinId="28"/>
    <cellStyle name="Schlecht" xfId="5" builtinId="27"/>
    <cellStyle name="Standard" xfId="0" builtinId="0"/>
    <cellStyle name="Standard 2" xfId="1" xr:uid="{00000000-0005-0000-0000-000001000000}"/>
    <cellStyle name="Währung 2" xfId="2" xr:uid="{00000000-0005-0000-0000-000002000000}"/>
  </cellStyles>
  <dxfs count="25">
    <dxf>
      <font>
        <color rgb="FF9C2C03"/>
      </font>
      <fill>
        <patternFill>
          <bgColor rgb="FFFFB77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D5C00"/>
      </font>
      <fill>
        <patternFill>
          <bgColor rgb="FFD7E69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numFmt numFmtId="165" formatCode="#,##0.00\ &quot;€&quot;"/>
    </dxf>
    <dxf>
      <numFmt numFmtId="165" formatCode="#,##0.00\ &quot;€&quot;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5" formatCode="#,##0.00\ &quot;€&quot;"/>
    </dxf>
    <dxf>
      <numFmt numFmtId="165" formatCode="#,##0.00\ &quot;€&quot;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uBestellen" displayName="zuBestellen" ref="A1:I7" totalsRowCount="1" headerRowDxfId="24" headerRowBorderDxfId="23" tableBorderDxfId="22">
  <autoFilter ref="A1:I6" xr:uid="{00000000-0009-0000-0100-000001000000}"/>
  <tableColumns count="9">
    <tableColumn id="7" xr3:uid="{00000000-0010-0000-0000-000007000000}" name="Bestell Nr." totalsRowLabel="Ergebnis"/>
    <tableColumn id="10" xr3:uid="{00000000-0010-0000-0000-00000A000000}" name="Jahrgang" dataDxfId="21" totalsRowDxfId="20" dataCellStyle="Komma" totalsRowCellStyle="Komma"/>
    <tableColumn id="9" xr3:uid="{00000000-0010-0000-0000-000009000000}" name="Fach"/>
    <tableColumn id="1" xr3:uid="{00000000-0010-0000-0000-000001000000}" name="Stückzahl" totalsRowFunction="sum"/>
    <tableColumn id="2" xr3:uid="{00000000-0010-0000-0000-000002000000}" name="Verfasser/Titel"/>
    <tableColumn id="3" xr3:uid="{00000000-0010-0000-0000-000003000000}" name="Verlag"/>
    <tableColumn id="4" xr3:uid="{00000000-0010-0000-0000-000004000000}" name="Best.-Nr. (ISBN)"/>
    <tableColumn id="5" xr3:uid="{00000000-0010-0000-0000-000005000000}" name="Einzelpreis (brutto)" dataDxfId="19" totalsRowDxfId="18"/>
    <tableColumn id="6" xr3:uid="{00000000-0010-0000-0000-000006000000}" name="Gesamtpreis (brutto)" totalsRowFunction="sum" dataDxfId="17" totalsRowDxfId="16">
      <calculatedColumnFormula>IF(OR(zuBestellen[[#This Row],[Stückzahl]]="",zuBestellen[[#This Row],[Einzelpreis (brutto)]]=""),"",zuBestellen[[#This Row],[Stückzahl]]*zuBestellen[[#This Row],[Einzelpreis (brutto)]])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stellt" displayName="bestellt" ref="A1:H8" totalsRowShown="0" headerRowDxfId="10" headerRowBorderDxfId="8" tableBorderDxfId="9">
  <autoFilter ref="A1:H8" xr:uid="{00000000-0009-0000-0100-000002000000}"/>
  <sortState ref="A2:H14">
    <sortCondition ref="A2:A14"/>
    <sortCondition ref="B2:B14"/>
    <sortCondition ref="C2:C14"/>
  </sortState>
  <tableColumns count="8">
    <tableColumn id="1" xr3:uid="{00000000-0010-0000-0100-000001000000}" name="B. Lfd.-Nr."/>
    <tableColumn id="2" xr3:uid="{00000000-0010-0000-0100-000002000000}" name="Lfd. Nr."/>
    <tableColumn id="3" xr3:uid="{00000000-0010-0000-0100-000003000000}" name="Stückzahl"/>
    <tableColumn id="4" xr3:uid="{00000000-0010-0000-0100-000004000000}" name="Verfasser/Titel"/>
    <tableColumn id="5" xr3:uid="{00000000-0010-0000-0100-000005000000}" name="Verlag"/>
    <tableColumn id="6" xr3:uid="{00000000-0010-0000-0100-000006000000}" name="Best.-Nr. (ISBN)"/>
    <tableColumn id="7" xr3:uid="{00000000-0010-0000-0100-000007000000}" name="Einzelpreis (brutto)" dataDxfId="7"/>
    <tableColumn id="8" xr3:uid="{00000000-0010-0000-0100-000008000000}" name="Gesamtpreis (brutto)" dataDxfId="6">
      <calculatedColumnFormula>IF(OR(bestellt[[#This Row],[Stückzahl]]="",bestellt[[#This Row],[Einzelpreis (brutto)]]=""),"",bestellt[[#This Row],[Stückzahl]]*bestellt[[#This Row],[Einzelpreis (brutto)]])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rhalten" displayName="erhalten" ref="A1:H42" totalsRowShown="0" headerRowDxfId="15" headerRowBorderDxfId="14" tableBorderDxfId="13">
  <autoFilter ref="A1:H42" xr:uid="{00000000-0009-0000-0100-000003000000}"/>
  <sortState ref="A2:H42">
    <sortCondition ref="A2:A42"/>
    <sortCondition ref="B2:B42"/>
  </sortState>
  <tableColumns count="8">
    <tableColumn id="1" xr3:uid="{00000000-0010-0000-0200-000001000000}" name="B. Lfd.-Nr."/>
    <tableColumn id="2" xr3:uid="{00000000-0010-0000-0200-000002000000}" name="Lfd. Nr."/>
    <tableColumn id="3" xr3:uid="{00000000-0010-0000-0200-000003000000}" name="Stückzahl"/>
    <tableColumn id="4" xr3:uid="{00000000-0010-0000-0200-000004000000}" name="Verfasser/Titel"/>
    <tableColumn id="5" xr3:uid="{00000000-0010-0000-0200-000005000000}" name="Verlag"/>
    <tableColumn id="6" xr3:uid="{00000000-0010-0000-0200-000006000000}" name="Best.-Nr. (ISBN)"/>
    <tableColumn id="7" xr3:uid="{00000000-0010-0000-0200-000007000000}" name="Einzelpreis (brutto)" dataDxfId="12"/>
    <tableColumn id="8" xr3:uid="{00000000-0010-0000-0200-000008000000}" name="Gesamtpreis (brutto)" dataDxfId="11">
      <calculatedColumnFormula>IF(OR(erhalten[[#This Row],[Stückzahl]]="",erhalten[[#This Row],[Einzelpreis (brutto)]]=""),"",erhalten[[#This Row],[Stückzahl]]*erhalten[[#This Row],[Einzelpreis (brutto)]])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1"/>
  <dimension ref="A1:BJ29"/>
  <sheetViews>
    <sheetView tabSelected="1" zoomScaleNormal="100" workbookViewId="0">
      <pane xSplit="1" topLeftCell="B1" activePane="topRight" state="frozen"/>
      <selection pane="topRight" activeCell="G5" sqref="G5"/>
    </sheetView>
  </sheetViews>
  <sheetFormatPr baseColWidth="10" defaultRowHeight="14.4" x14ac:dyDescent="0.3"/>
  <cols>
    <col min="2" max="61" width="4" customWidth="1"/>
  </cols>
  <sheetData>
    <row r="1" spans="1:62" ht="15" customHeight="1" thickTop="1" x14ac:dyDescent="0.3">
      <c r="A1" s="14" t="s">
        <v>0</v>
      </c>
      <c r="B1" s="57" t="s">
        <v>1</v>
      </c>
      <c r="C1" s="58"/>
      <c r="D1" s="58"/>
      <c r="E1" s="59"/>
      <c r="F1" s="57" t="s">
        <v>2</v>
      </c>
      <c r="G1" s="58"/>
      <c r="H1" s="58"/>
      <c r="I1" s="59"/>
      <c r="J1" s="57" t="s">
        <v>3</v>
      </c>
      <c r="K1" s="58"/>
      <c r="L1" s="58"/>
      <c r="M1" s="59"/>
      <c r="N1" s="57" t="s">
        <v>4</v>
      </c>
      <c r="O1" s="58"/>
      <c r="P1" s="58"/>
      <c r="Q1" s="59"/>
      <c r="R1" s="57" t="s">
        <v>5</v>
      </c>
      <c r="S1" s="58"/>
      <c r="T1" s="58"/>
      <c r="U1" s="59"/>
      <c r="V1" s="57" t="s">
        <v>6</v>
      </c>
      <c r="W1" s="58"/>
      <c r="X1" s="58"/>
      <c r="Y1" s="59"/>
      <c r="Z1" s="57" t="s">
        <v>7</v>
      </c>
      <c r="AA1" s="58"/>
      <c r="AB1" s="58"/>
      <c r="AC1" s="59"/>
      <c r="AD1" s="57" t="s">
        <v>8</v>
      </c>
      <c r="AE1" s="58"/>
      <c r="AF1" s="58"/>
      <c r="AG1" s="59"/>
      <c r="AH1" s="57" t="s">
        <v>9</v>
      </c>
      <c r="AI1" s="58"/>
      <c r="AJ1" s="58"/>
      <c r="AK1" s="59"/>
      <c r="AL1" s="57" t="s">
        <v>10</v>
      </c>
      <c r="AM1" s="58"/>
      <c r="AN1" s="58"/>
      <c r="AO1" s="59"/>
      <c r="AP1" s="57" t="s">
        <v>11</v>
      </c>
      <c r="AQ1" s="58"/>
      <c r="AR1" s="58"/>
      <c r="AS1" s="59"/>
      <c r="AT1" s="57" t="s">
        <v>12</v>
      </c>
      <c r="AU1" s="58"/>
      <c r="AV1" s="58"/>
      <c r="AW1" s="59"/>
      <c r="AX1" s="57" t="s">
        <v>13</v>
      </c>
      <c r="AY1" s="58"/>
      <c r="AZ1" s="58"/>
      <c r="BA1" s="59"/>
      <c r="BB1" s="57" t="s">
        <v>14</v>
      </c>
      <c r="BC1" s="58"/>
      <c r="BD1" s="58"/>
      <c r="BE1" s="59"/>
      <c r="BF1" s="76" t="s">
        <v>15</v>
      </c>
      <c r="BG1" s="58"/>
      <c r="BH1" s="58"/>
      <c r="BI1" s="77"/>
      <c r="BJ1" s="48"/>
    </row>
    <row r="2" spans="1:62" s="1" customFormat="1" ht="64.95" customHeight="1" x14ac:dyDescent="0.3">
      <c r="A2" s="9" t="s">
        <v>16</v>
      </c>
      <c r="B2" s="10" t="s">
        <v>17</v>
      </c>
      <c r="C2" s="11" t="s">
        <v>18</v>
      </c>
      <c r="D2" s="11" t="s">
        <v>19</v>
      </c>
      <c r="E2" s="12" t="s">
        <v>20</v>
      </c>
      <c r="F2" s="10" t="s">
        <v>17</v>
      </c>
      <c r="G2" s="11" t="s">
        <v>18</v>
      </c>
      <c r="H2" s="11" t="s">
        <v>19</v>
      </c>
      <c r="I2" s="12" t="s">
        <v>20</v>
      </c>
      <c r="J2" s="10" t="s">
        <v>17</v>
      </c>
      <c r="K2" s="11" t="s">
        <v>18</v>
      </c>
      <c r="L2" s="11" t="s">
        <v>19</v>
      </c>
      <c r="M2" s="12" t="s">
        <v>20</v>
      </c>
      <c r="N2" s="10" t="s">
        <v>17</v>
      </c>
      <c r="O2" s="11" t="s">
        <v>18</v>
      </c>
      <c r="P2" s="11" t="s">
        <v>19</v>
      </c>
      <c r="Q2" s="12" t="s">
        <v>20</v>
      </c>
      <c r="R2" s="10" t="s">
        <v>17</v>
      </c>
      <c r="S2" s="11" t="s">
        <v>18</v>
      </c>
      <c r="T2" s="11" t="s">
        <v>19</v>
      </c>
      <c r="U2" s="12" t="s">
        <v>20</v>
      </c>
      <c r="V2" s="10" t="s">
        <v>17</v>
      </c>
      <c r="W2" s="11" t="s">
        <v>18</v>
      </c>
      <c r="X2" s="11" t="s">
        <v>19</v>
      </c>
      <c r="Y2" s="12" t="s">
        <v>20</v>
      </c>
      <c r="Z2" s="10" t="s">
        <v>17</v>
      </c>
      <c r="AA2" s="11" t="s">
        <v>18</v>
      </c>
      <c r="AB2" s="11" t="s">
        <v>19</v>
      </c>
      <c r="AC2" s="12" t="s">
        <v>20</v>
      </c>
      <c r="AD2" s="10" t="s">
        <v>17</v>
      </c>
      <c r="AE2" s="11" t="s">
        <v>18</v>
      </c>
      <c r="AF2" s="11" t="s">
        <v>19</v>
      </c>
      <c r="AG2" s="12" t="s">
        <v>20</v>
      </c>
      <c r="AH2" s="10" t="s">
        <v>17</v>
      </c>
      <c r="AI2" s="11" t="s">
        <v>18</v>
      </c>
      <c r="AJ2" s="11" t="s">
        <v>19</v>
      </c>
      <c r="AK2" s="12" t="s">
        <v>20</v>
      </c>
      <c r="AL2" s="10" t="s">
        <v>17</v>
      </c>
      <c r="AM2" s="11" t="s">
        <v>18</v>
      </c>
      <c r="AN2" s="11" t="s">
        <v>19</v>
      </c>
      <c r="AO2" s="12" t="s">
        <v>20</v>
      </c>
      <c r="AP2" s="10" t="s">
        <v>17</v>
      </c>
      <c r="AQ2" s="11" t="s">
        <v>18</v>
      </c>
      <c r="AR2" s="11" t="s">
        <v>19</v>
      </c>
      <c r="AS2" s="12" t="s">
        <v>20</v>
      </c>
      <c r="AT2" s="3" t="s">
        <v>17</v>
      </c>
      <c r="AU2" s="2" t="s">
        <v>18</v>
      </c>
      <c r="AV2" s="2" t="s">
        <v>19</v>
      </c>
      <c r="AW2" s="4" t="s">
        <v>20</v>
      </c>
      <c r="AX2" s="10" t="s">
        <v>17</v>
      </c>
      <c r="AY2" s="11" t="s">
        <v>18</v>
      </c>
      <c r="AZ2" s="11" t="s">
        <v>19</v>
      </c>
      <c r="BA2" s="12" t="s">
        <v>20</v>
      </c>
      <c r="BB2" s="10" t="s">
        <v>17</v>
      </c>
      <c r="BC2" s="11" t="s">
        <v>18</v>
      </c>
      <c r="BD2" s="11" t="s">
        <v>19</v>
      </c>
      <c r="BE2" s="12" t="s">
        <v>20</v>
      </c>
      <c r="BF2" s="10" t="s">
        <v>17</v>
      </c>
      <c r="BG2" s="11" t="s">
        <v>18</v>
      </c>
      <c r="BH2" s="11" t="s">
        <v>19</v>
      </c>
      <c r="BI2" s="13" t="s">
        <v>20</v>
      </c>
    </row>
    <row r="3" spans="1:62" x14ac:dyDescent="0.3">
      <c r="A3" s="15" t="s">
        <v>21</v>
      </c>
      <c r="B3" s="27">
        <v>94</v>
      </c>
      <c r="C3" s="50">
        <v>98</v>
      </c>
      <c r="D3" s="50"/>
      <c r="E3" s="51">
        <f t="shared" ref="E3:E9" si="0">B3-C3-D3</f>
        <v>-4</v>
      </c>
      <c r="F3" s="27">
        <v>94</v>
      </c>
      <c r="G3" s="50">
        <v>96</v>
      </c>
      <c r="H3" s="50"/>
      <c r="I3" s="51">
        <f t="shared" ref="I3:I9" si="1">F3-G3-H3</f>
        <v>-2</v>
      </c>
      <c r="J3" s="20">
        <v>94</v>
      </c>
      <c r="K3" s="60">
        <v>167</v>
      </c>
      <c r="L3" s="60"/>
      <c r="M3" s="62">
        <f>J3+J4-K3-L3</f>
        <v>0</v>
      </c>
      <c r="N3" s="27">
        <v>94</v>
      </c>
      <c r="O3" s="50">
        <v>73</v>
      </c>
      <c r="P3" s="50">
        <v>20</v>
      </c>
      <c r="Q3" s="51">
        <f>N3-O3-P3</f>
        <v>1</v>
      </c>
      <c r="R3" s="68"/>
      <c r="S3" s="66"/>
      <c r="T3" s="66"/>
      <c r="U3" s="67"/>
      <c r="V3" s="20">
        <v>94</v>
      </c>
      <c r="W3" s="60">
        <v>169</v>
      </c>
      <c r="X3" s="60"/>
      <c r="Y3" s="62">
        <f>V3+V4-W3-X3</f>
        <v>-2</v>
      </c>
      <c r="Z3" s="20">
        <v>94</v>
      </c>
      <c r="AA3" s="60">
        <v>168</v>
      </c>
      <c r="AB3" s="60"/>
      <c r="AC3" s="62">
        <f>Z3+Z4-AA3-AB3</f>
        <v>-1</v>
      </c>
      <c r="AD3" s="68"/>
      <c r="AE3" s="66"/>
      <c r="AF3" s="66"/>
      <c r="AG3" s="67"/>
      <c r="AH3" s="27">
        <v>94</v>
      </c>
      <c r="AI3" s="50">
        <v>71</v>
      </c>
      <c r="AJ3" s="50">
        <v>26</v>
      </c>
      <c r="AK3" s="51">
        <f t="shared" ref="AK3:AK9" si="2">AH3-AI3-AJ3</f>
        <v>-3</v>
      </c>
      <c r="AL3" s="20">
        <v>94</v>
      </c>
      <c r="AM3" s="60">
        <v>169</v>
      </c>
      <c r="AN3" s="60"/>
      <c r="AO3" s="62">
        <f>AL3+AL4-AM3-AN3</f>
        <v>-2</v>
      </c>
      <c r="AP3" s="20">
        <v>57</v>
      </c>
      <c r="AQ3" s="60">
        <v>113</v>
      </c>
      <c r="AR3" s="60"/>
      <c r="AS3" s="62">
        <f>AP3+AP4-AQ3-AR3</f>
        <v>-5</v>
      </c>
      <c r="AT3" s="20">
        <v>37</v>
      </c>
      <c r="AU3" s="60">
        <v>71</v>
      </c>
      <c r="AV3" s="60"/>
      <c r="AW3" s="62">
        <f>AT3+AT4-AU3-AV3</f>
        <v>-12</v>
      </c>
      <c r="AX3" s="68"/>
      <c r="AY3" s="69"/>
      <c r="AZ3" s="69"/>
      <c r="BA3" s="70"/>
      <c r="BB3" s="68"/>
      <c r="BC3" s="69"/>
      <c r="BD3" s="69"/>
      <c r="BE3" s="70"/>
      <c r="BF3" s="87"/>
      <c r="BG3" s="69"/>
      <c r="BH3" s="69"/>
      <c r="BI3" s="91"/>
    </row>
    <row r="4" spans="1:62" x14ac:dyDescent="0.3">
      <c r="A4" s="15" t="s">
        <v>22</v>
      </c>
      <c r="B4" s="27">
        <v>73</v>
      </c>
      <c r="C4" s="50">
        <v>71</v>
      </c>
      <c r="D4" s="50"/>
      <c r="E4" s="51">
        <f t="shared" si="0"/>
        <v>2</v>
      </c>
      <c r="F4" s="27">
        <v>73</v>
      </c>
      <c r="G4" s="50">
        <v>69</v>
      </c>
      <c r="H4" s="50"/>
      <c r="I4" s="51">
        <f t="shared" si="1"/>
        <v>4</v>
      </c>
      <c r="J4" s="28">
        <v>73</v>
      </c>
      <c r="K4" s="61"/>
      <c r="L4" s="61"/>
      <c r="M4" s="63"/>
      <c r="N4" s="27">
        <v>73</v>
      </c>
      <c r="O4" s="50">
        <v>81</v>
      </c>
      <c r="P4" s="50"/>
      <c r="Q4" s="51">
        <f>N4-O4-P4</f>
        <v>-8</v>
      </c>
      <c r="R4" s="84"/>
      <c r="S4" s="85"/>
      <c r="T4" s="85"/>
      <c r="U4" s="86"/>
      <c r="V4" s="28">
        <v>73</v>
      </c>
      <c r="W4" s="61"/>
      <c r="X4" s="61"/>
      <c r="Y4" s="63"/>
      <c r="Z4" s="28">
        <v>73</v>
      </c>
      <c r="AA4" s="61"/>
      <c r="AB4" s="61"/>
      <c r="AC4" s="63"/>
      <c r="AD4" s="84"/>
      <c r="AE4" s="85"/>
      <c r="AF4" s="85"/>
      <c r="AG4" s="86"/>
      <c r="AH4" s="27">
        <v>73</v>
      </c>
      <c r="AI4" s="50">
        <v>82</v>
      </c>
      <c r="AJ4" s="50"/>
      <c r="AK4" s="51">
        <f t="shared" si="2"/>
        <v>-9</v>
      </c>
      <c r="AL4" s="28">
        <v>73</v>
      </c>
      <c r="AM4" s="61"/>
      <c r="AN4" s="61"/>
      <c r="AO4" s="63"/>
      <c r="AP4" s="28">
        <v>51</v>
      </c>
      <c r="AQ4" s="61"/>
      <c r="AR4" s="61"/>
      <c r="AS4" s="63"/>
      <c r="AT4" s="28">
        <v>22</v>
      </c>
      <c r="AU4" s="61"/>
      <c r="AV4" s="61"/>
      <c r="AW4" s="63"/>
      <c r="AX4" s="20">
        <v>12</v>
      </c>
      <c r="AY4" s="60">
        <v>37</v>
      </c>
      <c r="AZ4" s="60"/>
      <c r="BA4" s="62">
        <f>AX4+AX5-AY4-AZ4</f>
        <v>-3</v>
      </c>
      <c r="BB4" s="20">
        <v>15</v>
      </c>
      <c r="BC4" s="90">
        <v>79</v>
      </c>
      <c r="BD4" s="90"/>
      <c r="BE4" s="62">
        <f>BB4+BB5+BB6+BB7-BC4-BD4</f>
        <v>-15</v>
      </c>
      <c r="BF4" s="27">
        <v>46</v>
      </c>
      <c r="BG4" s="50">
        <v>51</v>
      </c>
      <c r="BH4" s="50"/>
      <c r="BI4" s="5">
        <f>BF4-BG4-BH4</f>
        <v>-5</v>
      </c>
      <c r="BJ4" t="s">
        <v>23</v>
      </c>
    </row>
    <row r="5" spans="1:62" x14ac:dyDescent="0.3">
      <c r="A5" s="15" t="s">
        <v>24</v>
      </c>
      <c r="B5" s="27">
        <v>75</v>
      </c>
      <c r="C5" s="50">
        <v>96</v>
      </c>
      <c r="D5" s="50"/>
      <c r="E5" s="51">
        <f t="shared" si="0"/>
        <v>-21</v>
      </c>
      <c r="F5" s="27">
        <v>75</v>
      </c>
      <c r="G5" s="50">
        <v>80</v>
      </c>
      <c r="H5" s="50"/>
      <c r="I5" s="51">
        <f t="shared" si="1"/>
        <v>-5</v>
      </c>
      <c r="J5" s="20">
        <v>75</v>
      </c>
      <c r="K5" s="60">
        <v>149</v>
      </c>
      <c r="L5" s="60"/>
      <c r="M5" s="62">
        <f>J5+J6-K5-L5</f>
        <v>-4</v>
      </c>
      <c r="N5" s="20">
        <v>75</v>
      </c>
      <c r="O5" s="60">
        <v>132</v>
      </c>
      <c r="P5" s="60">
        <v>19</v>
      </c>
      <c r="Q5" s="62">
        <f>N5+N6-O5-P5</f>
        <v>-6</v>
      </c>
      <c r="R5" s="71"/>
      <c r="S5" s="72"/>
      <c r="T5" s="72"/>
      <c r="U5" s="73"/>
      <c r="V5" s="20">
        <v>75</v>
      </c>
      <c r="W5" s="60">
        <v>150</v>
      </c>
      <c r="X5" s="60"/>
      <c r="Y5" s="62">
        <f>V5+V6-W5-X5</f>
        <v>-5</v>
      </c>
      <c r="Z5" s="20">
        <v>75</v>
      </c>
      <c r="AA5" s="60">
        <v>153</v>
      </c>
      <c r="AB5" s="60"/>
      <c r="AC5" s="62">
        <f>Z5+Z6-AA5-AB5</f>
        <v>-8</v>
      </c>
      <c r="AD5" s="84"/>
      <c r="AE5" s="85"/>
      <c r="AF5" s="85"/>
      <c r="AG5" s="86"/>
      <c r="AH5" s="27">
        <v>75</v>
      </c>
      <c r="AI5" s="50">
        <v>82</v>
      </c>
      <c r="AJ5" s="50"/>
      <c r="AK5" s="51">
        <f t="shared" si="2"/>
        <v>-7</v>
      </c>
      <c r="AL5" s="20">
        <v>75</v>
      </c>
      <c r="AM5" s="60">
        <v>172</v>
      </c>
      <c r="AN5" s="60"/>
      <c r="AO5" s="62">
        <f>AL5+AL6-AM5-AN5</f>
        <v>-27</v>
      </c>
      <c r="AP5" s="20">
        <v>44</v>
      </c>
      <c r="AQ5" s="60">
        <v>121</v>
      </c>
      <c r="AR5" s="60"/>
      <c r="AS5" s="62">
        <f>AP5+AP6-AQ5-AR5</f>
        <v>-35</v>
      </c>
      <c r="AT5" s="20">
        <v>31</v>
      </c>
      <c r="AU5" s="60">
        <v>55</v>
      </c>
      <c r="AV5" s="60"/>
      <c r="AW5" s="62">
        <f>AT5+AT6-AU5-AV5</f>
        <v>4</v>
      </c>
      <c r="AX5" s="28">
        <v>22</v>
      </c>
      <c r="AY5" s="61"/>
      <c r="AZ5" s="61"/>
      <c r="BA5" s="63"/>
      <c r="BB5" s="22">
        <v>15</v>
      </c>
      <c r="BC5" s="64"/>
      <c r="BD5" s="64"/>
      <c r="BE5" s="92"/>
      <c r="BF5" s="27">
        <v>38</v>
      </c>
      <c r="BG5" s="50">
        <v>46</v>
      </c>
      <c r="BH5" s="50"/>
      <c r="BI5" s="5">
        <f>BF5-BG5-BH5</f>
        <v>-8</v>
      </c>
    </row>
    <row r="6" spans="1:62" ht="15" customHeight="1" x14ac:dyDescent="0.3">
      <c r="A6" s="15" t="s">
        <v>25</v>
      </c>
      <c r="B6" s="27">
        <v>70</v>
      </c>
      <c r="C6" s="50">
        <v>76</v>
      </c>
      <c r="D6" s="50"/>
      <c r="E6" s="51">
        <f t="shared" si="0"/>
        <v>-6</v>
      </c>
      <c r="F6" s="27">
        <v>70</v>
      </c>
      <c r="G6" s="50">
        <v>77</v>
      </c>
      <c r="H6" s="50"/>
      <c r="I6" s="51">
        <f t="shared" si="1"/>
        <v>-7</v>
      </c>
      <c r="J6" s="28">
        <v>70</v>
      </c>
      <c r="K6" s="61"/>
      <c r="L6" s="61"/>
      <c r="M6" s="63"/>
      <c r="N6" s="28">
        <v>70</v>
      </c>
      <c r="O6" s="61"/>
      <c r="P6" s="61"/>
      <c r="Q6" s="63"/>
      <c r="R6" s="27">
        <v>70</v>
      </c>
      <c r="S6" s="50">
        <v>77</v>
      </c>
      <c r="T6" s="50"/>
      <c r="U6" s="51">
        <f>R6-S6-T6</f>
        <v>-7</v>
      </c>
      <c r="V6" s="28">
        <v>70</v>
      </c>
      <c r="W6" s="61"/>
      <c r="X6" s="61"/>
      <c r="Y6" s="63"/>
      <c r="Z6" s="28">
        <v>70</v>
      </c>
      <c r="AA6" s="61"/>
      <c r="AB6" s="61"/>
      <c r="AC6" s="63"/>
      <c r="AD6" s="71"/>
      <c r="AE6" s="72"/>
      <c r="AF6" s="72"/>
      <c r="AG6" s="73"/>
      <c r="AH6" s="27">
        <v>70</v>
      </c>
      <c r="AI6" s="50">
        <v>69</v>
      </c>
      <c r="AJ6" s="50">
        <v>4</v>
      </c>
      <c r="AK6" s="51">
        <f t="shared" si="2"/>
        <v>-3</v>
      </c>
      <c r="AL6" s="28">
        <v>70</v>
      </c>
      <c r="AM6" s="61"/>
      <c r="AN6" s="61"/>
      <c r="AO6" s="63"/>
      <c r="AP6" s="28">
        <v>42</v>
      </c>
      <c r="AQ6" s="61"/>
      <c r="AR6" s="61"/>
      <c r="AS6" s="63"/>
      <c r="AT6" s="28">
        <v>28</v>
      </c>
      <c r="AU6" s="61"/>
      <c r="AV6" s="61"/>
      <c r="AW6" s="63"/>
      <c r="AX6" s="65"/>
      <c r="AY6" s="66"/>
      <c r="AZ6" s="66"/>
      <c r="BA6" s="67"/>
      <c r="BB6" s="22">
        <v>14</v>
      </c>
      <c r="BC6" s="64"/>
      <c r="BD6" s="64"/>
      <c r="BE6" s="92"/>
      <c r="BF6" s="27">
        <v>33</v>
      </c>
      <c r="BG6" s="50">
        <v>40</v>
      </c>
      <c r="BH6" s="50"/>
      <c r="BI6" s="5">
        <f>BF6-BG6-BH6</f>
        <v>-7</v>
      </c>
      <c r="BJ6" t="s">
        <v>26</v>
      </c>
    </row>
    <row r="7" spans="1:62" ht="15" customHeight="1" x14ac:dyDescent="0.3">
      <c r="A7" s="15" t="s">
        <v>27</v>
      </c>
      <c r="B7" s="27">
        <v>60</v>
      </c>
      <c r="C7" s="50">
        <v>91</v>
      </c>
      <c r="D7" s="50"/>
      <c r="E7" s="51">
        <f t="shared" si="0"/>
        <v>-31</v>
      </c>
      <c r="F7" s="36">
        <v>60</v>
      </c>
      <c r="G7" s="50">
        <v>70</v>
      </c>
      <c r="H7" s="50"/>
      <c r="I7" s="34">
        <f t="shared" si="1"/>
        <v>-10</v>
      </c>
      <c r="J7" s="20">
        <v>60</v>
      </c>
      <c r="K7" s="60">
        <v>124</v>
      </c>
      <c r="L7" s="60"/>
      <c r="M7" s="62">
        <f>J7+J8-K7-L7</f>
        <v>-5</v>
      </c>
      <c r="N7" s="20">
        <v>60</v>
      </c>
      <c r="O7" s="60">
        <v>150</v>
      </c>
      <c r="P7" s="60"/>
      <c r="Q7" s="62">
        <f>N7+N8-O7-P7</f>
        <v>-31</v>
      </c>
      <c r="R7" s="27">
        <v>60</v>
      </c>
      <c r="S7" s="50">
        <v>66</v>
      </c>
      <c r="T7" s="50"/>
      <c r="U7" s="51">
        <f>R7-S7-T7</f>
        <v>-6</v>
      </c>
      <c r="V7" s="20">
        <v>60</v>
      </c>
      <c r="W7" s="60">
        <v>122</v>
      </c>
      <c r="X7" s="60"/>
      <c r="Y7" s="62">
        <f>V7+V8-W7-X7</f>
        <v>-3</v>
      </c>
      <c r="Z7" s="20">
        <v>60</v>
      </c>
      <c r="AA7" s="60">
        <v>149</v>
      </c>
      <c r="AB7" s="60"/>
      <c r="AC7" s="62">
        <f>Z7+Z8-AA7-AB7</f>
        <v>-30</v>
      </c>
      <c r="AD7" s="20">
        <v>60</v>
      </c>
      <c r="AE7" s="60">
        <v>126</v>
      </c>
      <c r="AF7" s="60"/>
      <c r="AG7" s="62">
        <f>AD7+AD8-AE7-AF7</f>
        <v>-7</v>
      </c>
      <c r="AH7" s="27">
        <v>60</v>
      </c>
      <c r="AI7" s="50">
        <v>75</v>
      </c>
      <c r="AJ7" s="50"/>
      <c r="AK7" s="51">
        <f t="shared" si="2"/>
        <v>-15</v>
      </c>
      <c r="AL7" s="20">
        <v>60</v>
      </c>
      <c r="AM7" s="60">
        <v>158</v>
      </c>
      <c r="AN7" s="60"/>
      <c r="AO7" s="62">
        <f>AL7+AL8-AM7-AN7</f>
        <v>-39</v>
      </c>
      <c r="AP7" s="20">
        <v>41</v>
      </c>
      <c r="AQ7" s="60">
        <v>111</v>
      </c>
      <c r="AR7" s="60"/>
      <c r="AS7" s="62">
        <f>AP7+AP8-AQ7-AR7</f>
        <v>-37</v>
      </c>
      <c r="AT7" s="20">
        <v>19</v>
      </c>
      <c r="AU7" s="60">
        <v>50</v>
      </c>
      <c r="AV7" s="60"/>
      <c r="AW7" s="62">
        <f>AT7+AT8-AU7-AV7</f>
        <v>-5</v>
      </c>
      <c r="AX7" s="84"/>
      <c r="AY7" s="85"/>
      <c r="AZ7" s="85"/>
      <c r="BA7" s="86"/>
      <c r="BB7" s="22">
        <v>20</v>
      </c>
      <c r="BC7" s="61"/>
      <c r="BD7" s="61"/>
      <c r="BE7" s="63"/>
      <c r="BF7" s="27">
        <v>21</v>
      </c>
      <c r="BG7" s="50">
        <v>60</v>
      </c>
      <c r="BH7" s="50"/>
      <c r="BI7" s="5">
        <f>BF7-BG7-BH7</f>
        <v>-39</v>
      </c>
    </row>
    <row r="8" spans="1:62" ht="15" customHeight="1" x14ac:dyDescent="0.3">
      <c r="A8" s="15" t="s">
        <v>28</v>
      </c>
      <c r="B8" s="27">
        <v>59</v>
      </c>
      <c r="C8" s="50">
        <v>82</v>
      </c>
      <c r="D8" s="50"/>
      <c r="E8" s="51">
        <f t="shared" si="0"/>
        <v>-23</v>
      </c>
      <c r="F8" s="36">
        <v>59</v>
      </c>
      <c r="G8" s="50">
        <v>65</v>
      </c>
      <c r="H8" s="50"/>
      <c r="I8" s="34">
        <f t="shared" si="1"/>
        <v>-6</v>
      </c>
      <c r="J8" s="28">
        <v>59</v>
      </c>
      <c r="K8" s="61"/>
      <c r="L8" s="61"/>
      <c r="M8" s="63"/>
      <c r="N8" s="28">
        <v>59</v>
      </c>
      <c r="O8" s="61"/>
      <c r="P8" s="61"/>
      <c r="Q8" s="63"/>
      <c r="R8" s="27">
        <v>59</v>
      </c>
      <c r="S8" s="50">
        <v>152</v>
      </c>
      <c r="T8" s="50"/>
      <c r="U8" s="51">
        <f>R8-S8-T8</f>
        <v>-93</v>
      </c>
      <c r="V8" s="28">
        <v>59</v>
      </c>
      <c r="W8" s="61"/>
      <c r="X8" s="61"/>
      <c r="Y8" s="63"/>
      <c r="Z8" s="28">
        <v>59</v>
      </c>
      <c r="AA8" s="61"/>
      <c r="AB8" s="61"/>
      <c r="AC8" s="63"/>
      <c r="AD8" s="28">
        <v>59</v>
      </c>
      <c r="AE8" s="61"/>
      <c r="AF8" s="61"/>
      <c r="AG8" s="63"/>
      <c r="AH8" s="27">
        <v>59</v>
      </c>
      <c r="AI8" s="50">
        <v>63</v>
      </c>
      <c r="AJ8" s="50"/>
      <c r="AK8" s="51">
        <f t="shared" si="2"/>
        <v>-4</v>
      </c>
      <c r="AL8" s="28">
        <v>59</v>
      </c>
      <c r="AM8" s="61"/>
      <c r="AN8" s="61"/>
      <c r="AO8" s="63"/>
      <c r="AP8" s="28">
        <v>33</v>
      </c>
      <c r="AQ8" s="61"/>
      <c r="AR8" s="61"/>
      <c r="AS8" s="63"/>
      <c r="AT8" s="28">
        <v>26</v>
      </c>
      <c r="AU8" s="61"/>
      <c r="AV8" s="61"/>
      <c r="AW8" s="63"/>
      <c r="AX8" s="84"/>
      <c r="AY8" s="85"/>
      <c r="AZ8" s="85"/>
      <c r="BA8" s="86"/>
      <c r="BB8" s="65"/>
      <c r="BC8" s="66"/>
      <c r="BD8" s="66"/>
      <c r="BE8" s="67"/>
      <c r="BF8" s="27">
        <v>24</v>
      </c>
      <c r="BG8" s="50">
        <v>48</v>
      </c>
      <c r="BH8" s="50"/>
      <c r="BI8" s="5">
        <f>BF8-BG8-BH8</f>
        <v>-24</v>
      </c>
      <c r="BJ8" t="s">
        <v>26</v>
      </c>
    </row>
    <row r="9" spans="1:62" ht="15" customHeight="1" thickBot="1" x14ac:dyDescent="0.35">
      <c r="A9" s="16" t="s">
        <v>29</v>
      </c>
      <c r="B9" s="7">
        <v>38</v>
      </c>
      <c r="C9" s="6">
        <v>52</v>
      </c>
      <c r="D9" s="6"/>
      <c r="E9" s="8">
        <f t="shared" si="0"/>
        <v>-14</v>
      </c>
      <c r="F9" s="37">
        <v>38</v>
      </c>
      <c r="G9" s="6">
        <v>58</v>
      </c>
      <c r="H9" s="6"/>
      <c r="I9" s="35">
        <f t="shared" si="1"/>
        <v>-20</v>
      </c>
      <c r="J9" s="7">
        <v>38</v>
      </c>
      <c r="K9" s="6">
        <v>51</v>
      </c>
      <c r="L9" s="6"/>
      <c r="M9" s="8">
        <f>J9-K9-L9</f>
        <v>-13</v>
      </c>
      <c r="N9" s="7">
        <v>38</v>
      </c>
      <c r="O9" s="6">
        <v>53</v>
      </c>
      <c r="P9" s="6"/>
      <c r="Q9" s="8">
        <f>N9-O9-P9</f>
        <v>-15</v>
      </c>
      <c r="R9" s="7">
        <v>38</v>
      </c>
      <c r="S9" s="6">
        <v>56</v>
      </c>
      <c r="T9" s="6"/>
      <c r="U9" s="8">
        <f>R9-S9-T9</f>
        <v>-18</v>
      </c>
      <c r="V9" s="7">
        <v>33</v>
      </c>
      <c r="W9" s="6">
        <v>49</v>
      </c>
      <c r="X9" s="6"/>
      <c r="Y9" s="8">
        <f>V9-W9-X9</f>
        <v>-16</v>
      </c>
      <c r="Z9" s="7">
        <v>30</v>
      </c>
      <c r="AA9" s="6">
        <v>51</v>
      </c>
      <c r="AB9" s="6"/>
      <c r="AC9" s="8">
        <f>Z9-AA9-AB9</f>
        <v>-21</v>
      </c>
      <c r="AD9" s="65"/>
      <c r="AE9" s="66"/>
      <c r="AF9" s="66"/>
      <c r="AG9" s="67"/>
      <c r="AH9" s="7">
        <v>38</v>
      </c>
      <c r="AI9" s="6">
        <v>50</v>
      </c>
      <c r="AJ9" s="6"/>
      <c r="AK9" s="8">
        <f t="shared" si="2"/>
        <v>-12</v>
      </c>
      <c r="AL9" s="7">
        <v>32</v>
      </c>
      <c r="AM9" s="6">
        <v>20</v>
      </c>
      <c r="AN9" s="6">
        <v>19</v>
      </c>
      <c r="AO9" s="8">
        <f>AL9-AM9-AN9</f>
        <v>-7</v>
      </c>
      <c r="AP9" s="65"/>
      <c r="AQ9" s="66"/>
      <c r="AR9" s="66"/>
      <c r="AS9" s="67"/>
      <c r="AT9" s="23">
        <v>15</v>
      </c>
      <c r="AU9" s="60">
        <v>16</v>
      </c>
      <c r="AV9" s="60"/>
      <c r="AW9" s="78">
        <f>AT9+AT12-AU9-AV9</f>
        <v>8</v>
      </c>
      <c r="AX9" s="84"/>
      <c r="AY9" s="85"/>
      <c r="AZ9" s="85"/>
      <c r="BA9" s="86"/>
      <c r="BB9" s="84"/>
      <c r="BC9" s="85"/>
      <c r="BD9" s="85"/>
      <c r="BE9" s="86"/>
      <c r="BF9" s="74"/>
      <c r="BG9" s="66"/>
      <c r="BH9" s="66"/>
      <c r="BI9" s="75"/>
    </row>
    <row r="10" spans="1:62" ht="15.6" customHeight="1" thickTop="1" thickBot="1" x14ac:dyDescent="0.35">
      <c r="A10" s="52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53"/>
      <c r="AU10" s="64"/>
      <c r="AV10" s="64"/>
      <c r="AW10" s="79"/>
      <c r="AX10" s="18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</row>
    <row r="11" spans="1:62" ht="15.6" customHeight="1" thickTop="1" x14ac:dyDescent="0.3">
      <c r="A11" s="19" t="s">
        <v>0</v>
      </c>
      <c r="B11" s="57"/>
      <c r="C11" s="58"/>
      <c r="D11" s="58"/>
      <c r="E11" s="59"/>
      <c r="F11" s="57"/>
      <c r="G11" s="58"/>
      <c r="H11" s="58"/>
      <c r="I11" s="59"/>
      <c r="J11" s="57"/>
      <c r="K11" s="58"/>
      <c r="L11" s="58"/>
      <c r="M11" s="59"/>
      <c r="N11" s="57" t="s">
        <v>30</v>
      </c>
      <c r="O11" s="58"/>
      <c r="P11" s="58"/>
      <c r="Q11" s="59"/>
      <c r="R11" s="57" t="s">
        <v>31</v>
      </c>
      <c r="S11" s="58"/>
      <c r="T11" s="58"/>
      <c r="U11" s="59"/>
      <c r="V11" s="57"/>
      <c r="W11" s="58"/>
      <c r="X11" s="58"/>
      <c r="Y11" s="59"/>
      <c r="Z11" s="57"/>
      <c r="AA11" s="58"/>
      <c r="AB11" s="58"/>
      <c r="AC11" s="59"/>
      <c r="AD11" s="57" t="s">
        <v>32</v>
      </c>
      <c r="AE11" s="58"/>
      <c r="AF11" s="58"/>
      <c r="AG11" s="59"/>
      <c r="AH11" s="57" t="s">
        <v>33</v>
      </c>
      <c r="AI11" s="58"/>
      <c r="AJ11" s="58"/>
      <c r="AK11" s="59"/>
      <c r="AL11" s="57"/>
      <c r="AM11" s="58"/>
      <c r="AN11" s="58"/>
      <c r="AO11" s="59"/>
      <c r="AP11" s="57"/>
      <c r="AQ11" s="58"/>
      <c r="AR11" s="58"/>
      <c r="AS11" s="59"/>
      <c r="AT11" s="24"/>
      <c r="AU11" s="64"/>
      <c r="AV11" s="64"/>
      <c r="AW11" s="79"/>
      <c r="AX11" s="57" t="s">
        <v>34</v>
      </c>
      <c r="AY11" s="58"/>
      <c r="AZ11" s="58"/>
      <c r="BA11" s="59"/>
      <c r="BB11" s="57" t="s">
        <v>35</v>
      </c>
      <c r="BC11" s="58"/>
      <c r="BD11" s="58"/>
      <c r="BE11" s="59"/>
      <c r="BF11" s="76"/>
      <c r="BG11" s="58"/>
      <c r="BH11" s="58"/>
      <c r="BI11" s="77"/>
    </row>
    <row r="12" spans="1:62" x14ac:dyDescent="0.3">
      <c r="A12" s="15" t="s">
        <v>36</v>
      </c>
      <c r="B12" s="68"/>
      <c r="C12" s="66"/>
      <c r="D12" s="66"/>
      <c r="E12" s="67"/>
      <c r="F12" s="20">
        <v>44</v>
      </c>
      <c r="G12" s="60">
        <v>77</v>
      </c>
      <c r="H12" s="60"/>
      <c r="I12" s="62">
        <f>F12+F13-G12-H12</f>
        <v>-4</v>
      </c>
      <c r="J12" s="68"/>
      <c r="K12" s="66"/>
      <c r="L12" s="66"/>
      <c r="M12" s="67"/>
      <c r="N12" s="27">
        <v>22</v>
      </c>
      <c r="O12" s="50">
        <v>26</v>
      </c>
      <c r="P12" s="50"/>
      <c r="Q12" s="51">
        <f>N12-O12-P12</f>
        <v>-4</v>
      </c>
      <c r="R12" s="27">
        <v>17</v>
      </c>
      <c r="S12" s="50">
        <v>21</v>
      </c>
      <c r="T12" s="50"/>
      <c r="U12" s="51">
        <f>R12-S12-T12</f>
        <v>-4</v>
      </c>
      <c r="V12" s="20">
        <v>33</v>
      </c>
      <c r="W12" s="60">
        <v>55</v>
      </c>
      <c r="X12" s="60"/>
      <c r="Y12" s="62">
        <f>V12+V13-W12-X12</f>
        <v>-4</v>
      </c>
      <c r="Z12" s="20">
        <v>19</v>
      </c>
      <c r="AA12" s="60">
        <v>23</v>
      </c>
      <c r="AB12" s="60">
        <v>8</v>
      </c>
      <c r="AC12" s="62">
        <f>Z12+Z13-AA12-AB12</f>
        <v>-5</v>
      </c>
      <c r="AD12" s="20">
        <v>16</v>
      </c>
      <c r="AE12" s="60">
        <v>31</v>
      </c>
      <c r="AF12" s="60"/>
      <c r="AG12" s="62">
        <f>AD12+AD13-AE12-AF12</f>
        <v>-5</v>
      </c>
      <c r="AH12" s="20">
        <v>28</v>
      </c>
      <c r="AI12" s="60">
        <v>47</v>
      </c>
      <c r="AJ12" s="60"/>
      <c r="AK12" s="62">
        <f>AH12+AH13-AI12-AJ12</f>
        <v>-3</v>
      </c>
      <c r="AL12" s="20">
        <v>25</v>
      </c>
      <c r="AM12" s="60">
        <v>43</v>
      </c>
      <c r="AN12" s="60"/>
      <c r="AO12" s="62">
        <f>AL12+AL13-AM12-AN12</f>
        <v>-4</v>
      </c>
      <c r="AP12" s="68"/>
      <c r="AQ12" s="66"/>
      <c r="AR12" s="66"/>
      <c r="AS12" s="67"/>
      <c r="AT12" s="21">
        <v>9</v>
      </c>
      <c r="AU12" s="61"/>
      <c r="AV12" s="61"/>
      <c r="AW12" s="80"/>
      <c r="AX12" s="20">
        <v>12</v>
      </c>
      <c r="AY12" s="60">
        <v>21</v>
      </c>
      <c r="AZ12" s="60"/>
      <c r="BA12" s="62">
        <f>AX12+AX13-AY12-AZ12</f>
        <v>-6</v>
      </c>
      <c r="BB12" s="20">
        <v>12</v>
      </c>
      <c r="BC12" s="60">
        <v>21</v>
      </c>
      <c r="BD12" s="60"/>
      <c r="BE12" s="62">
        <f>BB12+BB13-BC12-BD12</f>
        <v>-6</v>
      </c>
      <c r="BF12" s="87"/>
      <c r="BG12" s="66"/>
      <c r="BH12" s="66"/>
      <c r="BI12" s="75"/>
    </row>
    <row r="13" spans="1:62" ht="15" customHeight="1" thickBot="1" x14ac:dyDescent="0.35">
      <c r="A13" s="16" t="s">
        <v>37</v>
      </c>
      <c r="B13" s="71"/>
      <c r="C13" s="72"/>
      <c r="D13" s="72"/>
      <c r="E13" s="73"/>
      <c r="F13" s="25">
        <v>29</v>
      </c>
      <c r="G13" s="61"/>
      <c r="H13" s="61"/>
      <c r="I13" s="63"/>
      <c r="J13" s="71"/>
      <c r="K13" s="72"/>
      <c r="L13" s="72"/>
      <c r="M13" s="73"/>
      <c r="N13" s="7">
        <v>17</v>
      </c>
      <c r="O13" s="6">
        <v>17</v>
      </c>
      <c r="P13" s="6"/>
      <c r="Q13" s="8">
        <f>N13-O13-P13</f>
        <v>0</v>
      </c>
      <c r="R13" s="93" t="s">
        <v>38</v>
      </c>
      <c r="S13" s="66"/>
      <c r="T13" s="66"/>
      <c r="U13" s="67"/>
      <c r="V13" s="25">
        <v>18</v>
      </c>
      <c r="W13" s="61"/>
      <c r="X13" s="61"/>
      <c r="Y13" s="63"/>
      <c r="Z13" s="25">
        <v>7</v>
      </c>
      <c r="AA13" s="61"/>
      <c r="AB13" s="61"/>
      <c r="AC13" s="63"/>
      <c r="AD13" s="25">
        <v>10</v>
      </c>
      <c r="AE13" s="61"/>
      <c r="AF13" s="61"/>
      <c r="AG13" s="63"/>
      <c r="AH13" s="25">
        <v>16</v>
      </c>
      <c r="AI13" s="61"/>
      <c r="AJ13" s="61"/>
      <c r="AK13" s="63"/>
      <c r="AL13" s="25">
        <v>14</v>
      </c>
      <c r="AM13" s="61"/>
      <c r="AN13" s="61"/>
      <c r="AO13" s="63"/>
      <c r="AP13" s="71"/>
      <c r="AQ13" s="72"/>
      <c r="AR13" s="72"/>
      <c r="AS13" s="73"/>
      <c r="AT13" s="89"/>
      <c r="AU13" s="66"/>
      <c r="AV13" s="66"/>
      <c r="AW13" s="67"/>
      <c r="AX13" s="25">
        <v>3</v>
      </c>
      <c r="AY13" s="61"/>
      <c r="AZ13" s="61"/>
      <c r="BA13" s="63"/>
      <c r="BB13" s="25">
        <v>3</v>
      </c>
      <c r="BC13" s="61"/>
      <c r="BD13" s="61"/>
      <c r="BE13" s="63"/>
      <c r="BF13" s="71"/>
      <c r="BG13" s="72"/>
      <c r="BH13" s="72"/>
      <c r="BI13" s="88"/>
    </row>
    <row r="14" spans="1:62" ht="15" customHeight="1" thickTop="1" thickBot="1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spans="1:62" ht="15.6" customHeight="1" thickTop="1" thickBot="1" x14ac:dyDescent="0.35">
      <c r="A15" s="47" t="s">
        <v>39</v>
      </c>
      <c r="B15" s="81">
        <v>46222.799942129634</v>
      </c>
      <c r="C15" s="82"/>
      <c r="D15" s="82"/>
      <c r="E15" s="82"/>
      <c r="F15" s="82"/>
      <c r="G15" s="82"/>
      <c r="H15" s="83"/>
      <c r="I15" s="49"/>
      <c r="J15" s="46"/>
      <c r="K15" s="46"/>
      <c r="L15" s="46"/>
    </row>
    <row r="16" spans="1:62" ht="15" customHeight="1" thickTop="1" x14ac:dyDescent="0.3"/>
    <row r="18" spans="5:12" ht="14.4" customHeight="1" x14ac:dyDescent="0.3"/>
    <row r="23" spans="5:12" x14ac:dyDescent="0.3">
      <c r="E23" s="38"/>
      <c r="F23" s="39"/>
      <c r="G23" s="38"/>
      <c r="H23" s="40"/>
      <c r="I23" s="38"/>
      <c r="J23" s="41"/>
      <c r="K23" s="38"/>
      <c r="L23" s="38"/>
    </row>
    <row r="24" spans="5:12" x14ac:dyDescent="0.3">
      <c r="E24" s="38"/>
      <c r="F24" s="39"/>
      <c r="G24" s="38"/>
      <c r="H24" s="40"/>
      <c r="I24" s="38"/>
      <c r="J24" s="41"/>
      <c r="K24" s="38"/>
      <c r="L24" s="38"/>
    </row>
    <row r="25" spans="5:12" x14ac:dyDescent="0.3">
      <c r="E25" s="38"/>
      <c r="F25" s="39"/>
      <c r="G25" s="38"/>
      <c r="H25" s="40"/>
      <c r="I25" s="38"/>
      <c r="J25" s="41"/>
      <c r="K25" s="38"/>
      <c r="L25" s="38"/>
    </row>
    <row r="26" spans="5:12" x14ac:dyDescent="0.3">
      <c r="E26" s="38"/>
      <c r="F26" s="39"/>
      <c r="G26" s="38"/>
      <c r="H26" s="40"/>
      <c r="I26" s="38"/>
      <c r="J26" s="41"/>
      <c r="K26" s="38"/>
      <c r="L26" s="38"/>
    </row>
    <row r="27" spans="5:12" x14ac:dyDescent="0.3">
      <c r="E27" s="38"/>
      <c r="F27" s="39"/>
      <c r="G27" s="38"/>
      <c r="H27" s="40"/>
      <c r="I27" s="38"/>
      <c r="J27" s="41"/>
      <c r="K27" s="38"/>
      <c r="L27" s="38"/>
    </row>
    <row r="28" spans="5:12" x14ac:dyDescent="0.3">
      <c r="E28" s="38"/>
      <c r="F28" s="39"/>
      <c r="G28" s="38"/>
      <c r="H28" s="40"/>
      <c r="I28" s="38"/>
      <c r="J28" s="41"/>
      <c r="K28" s="38"/>
      <c r="L28" s="38"/>
    </row>
    <row r="29" spans="5:12" x14ac:dyDescent="0.3">
      <c r="E29" s="38"/>
      <c r="F29" s="39"/>
      <c r="G29" s="38"/>
      <c r="H29" s="40"/>
      <c r="I29" s="38"/>
      <c r="J29" s="41"/>
      <c r="K29" s="38"/>
      <c r="L29" s="38"/>
    </row>
  </sheetData>
  <mergeCells count="142">
    <mergeCell ref="R1:U1"/>
    <mergeCell ref="BA4:BA5"/>
    <mergeCell ref="AB3:AB4"/>
    <mergeCell ref="B1:E1"/>
    <mergeCell ref="AS5:AS6"/>
    <mergeCell ref="N1:Q1"/>
    <mergeCell ref="G12:G13"/>
    <mergeCell ref="AU5:AU6"/>
    <mergeCell ref="AV7:AV8"/>
    <mergeCell ref="AY12:AY13"/>
    <mergeCell ref="BA12:BA13"/>
    <mergeCell ref="AK12:AK13"/>
    <mergeCell ref="O5:O6"/>
    <mergeCell ref="Q5:Q6"/>
    <mergeCell ref="J11:M11"/>
    <mergeCell ref="Y3:Y4"/>
    <mergeCell ref="AD3:AG6"/>
    <mergeCell ref="AP12:AS13"/>
    <mergeCell ref="L7:L8"/>
    <mergeCell ref="V11:Y11"/>
    <mergeCell ref="AN5:AN6"/>
    <mergeCell ref="L3:L4"/>
    <mergeCell ref="X3:X4"/>
    <mergeCell ref="R3:U5"/>
    <mergeCell ref="M7:M8"/>
    <mergeCell ref="AL1:AO1"/>
    <mergeCell ref="AB12:AB13"/>
    <mergeCell ref="B15:H15"/>
    <mergeCell ref="AY4:AY5"/>
    <mergeCell ref="AX6:BA9"/>
    <mergeCell ref="BB8:BE9"/>
    <mergeCell ref="Z1:AC1"/>
    <mergeCell ref="AT1:AW1"/>
    <mergeCell ref="W7:W8"/>
    <mergeCell ref="BF12:BI13"/>
    <mergeCell ref="BF1:BI1"/>
    <mergeCell ref="AT13:AW13"/>
    <mergeCell ref="Y7:Y8"/>
    <mergeCell ref="AX1:BA1"/>
    <mergeCell ref="AA7:AA8"/>
    <mergeCell ref="AN12:AN13"/>
    <mergeCell ref="X5:X6"/>
    <mergeCell ref="AS7:AS8"/>
    <mergeCell ref="J1:M1"/>
    <mergeCell ref="AU7:AU8"/>
    <mergeCell ref="AV5:AV6"/>
    <mergeCell ref="H12:H13"/>
    <mergeCell ref="AV9:AV12"/>
    <mergeCell ref="B11:E11"/>
    <mergeCell ref="BC4:BC7"/>
    <mergeCell ref="K3:K4"/>
    <mergeCell ref="BF9:BI9"/>
    <mergeCell ref="AC3:AC4"/>
    <mergeCell ref="AC12:AC13"/>
    <mergeCell ref="AE12:AE13"/>
    <mergeCell ref="AO3:AO4"/>
    <mergeCell ref="AQ3:AQ4"/>
    <mergeCell ref="AO12:AO13"/>
    <mergeCell ref="AA5:AA6"/>
    <mergeCell ref="AC5:AC6"/>
    <mergeCell ref="BF11:BI11"/>
    <mergeCell ref="AO5:AO6"/>
    <mergeCell ref="AQ5:AQ6"/>
    <mergeCell ref="AW9:AW12"/>
    <mergeCell ref="BC12:BC13"/>
    <mergeCell ref="BE12:BE13"/>
    <mergeCell ref="AG7:AG8"/>
    <mergeCell ref="AR5:AR6"/>
    <mergeCell ref="BF3:BI3"/>
    <mergeCell ref="AN7:AN8"/>
    <mergeCell ref="AS3:AS4"/>
    <mergeCell ref="AX11:BA11"/>
    <mergeCell ref="AF7:AF8"/>
    <mergeCell ref="AU3:AU4"/>
    <mergeCell ref="BE4:BE7"/>
    <mergeCell ref="V1:Y1"/>
    <mergeCell ref="O7:O8"/>
    <mergeCell ref="Q7:Q8"/>
    <mergeCell ref="AP1:AS1"/>
    <mergeCell ref="AH1:AK1"/>
    <mergeCell ref="P5:P6"/>
    <mergeCell ref="AR7:AR8"/>
    <mergeCell ref="X12:X13"/>
    <mergeCell ref="AJ12:AJ13"/>
    <mergeCell ref="AO7:AO8"/>
    <mergeCell ref="AP11:AS11"/>
    <mergeCell ref="AH11:AK11"/>
    <mergeCell ref="W5:W6"/>
    <mergeCell ref="Y5:Y6"/>
    <mergeCell ref="N11:Q11"/>
    <mergeCell ref="AF12:AF13"/>
    <mergeCell ref="P7:P8"/>
    <mergeCell ref="AM7:AM8"/>
    <mergeCell ref="Z11:AC11"/>
    <mergeCell ref="AL11:AO11"/>
    <mergeCell ref="AP9:AS9"/>
    <mergeCell ref="R13:U13"/>
    <mergeCell ref="AG12:AG13"/>
    <mergeCell ref="AI12:AI13"/>
    <mergeCell ref="AV3:AV4"/>
    <mergeCell ref="AD11:AG11"/>
    <mergeCell ref="AQ7:AQ8"/>
    <mergeCell ref="BD12:BD13"/>
    <mergeCell ref="B12:E13"/>
    <mergeCell ref="AX3:BA3"/>
    <mergeCell ref="X7:X8"/>
    <mergeCell ref="AW3:AW4"/>
    <mergeCell ref="AZ4:AZ5"/>
    <mergeCell ref="BB11:BE11"/>
    <mergeCell ref="AB5:AB6"/>
    <mergeCell ref="AW7:AW8"/>
    <mergeCell ref="K5:K6"/>
    <mergeCell ref="M5:M6"/>
    <mergeCell ref="M3:M4"/>
    <mergeCell ref="J12:M13"/>
    <mergeCell ref="L5:L6"/>
    <mergeCell ref="AZ12:AZ13"/>
    <mergeCell ref="BD4:BD7"/>
    <mergeCell ref="F1:I1"/>
    <mergeCell ref="AM5:AM6"/>
    <mergeCell ref="AW5:AW6"/>
    <mergeCell ref="AU9:AU12"/>
    <mergeCell ref="F11:I11"/>
    <mergeCell ref="I12:I13"/>
    <mergeCell ref="AD9:AG9"/>
    <mergeCell ref="W3:W4"/>
    <mergeCell ref="BB3:BE3"/>
    <mergeCell ref="R11:U11"/>
    <mergeCell ref="W12:W13"/>
    <mergeCell ref="AB7:AB8"/>
    <mergeCell ref="AA3:AA4"/>
    <mergeCell ref="Y12:Y13"/>
    <mergeCell ref="AA12:AA13"/>
    <mergeCell ref="AR3:AR4"/>
    <mergeCell ref="K7:K8"/>
    <mergeCell ref="AM3:AM4"/>
    <mergeCell ref="AM12:AM13"/>
    <mergeCell ref="AD1:AG1"/>
    <mergeCell ref="AN3:AN4"/>
    <mergeCell ref="AC7:AC8"/>
    <mergeCell ref="BB1:BE1"/>
    <mergeCell ref="AE7:AE8"/>
  </mergeCells>
  <conditionalFormatting sqref="M3 Y3 AC3 AO3 AS3 AW3 Q3:Q5 E3:E9 I3:I9 AK3:AK9 BA4 BE4 BI4:BI8 M5 Y5 AC5 AO5 AS5 AW5 U6:U9 M7 Q7 Y7 AC7 AG7 AO7 AS7 AW7 M9 Q9 Y9 AC9 AO9 AW9 I12 U12 Y12 AC12 AG12 AK12 AO12 BA12 BE12 Q12:Q13">
    <cfRule type="containsText" dxfId="5" priority="1" operator="containsText" text=" ">
      <formula>NOT(ISERROR(SEARCH(" ",E3)))</formula>
    </cfRule>
    <cfRule type="cellIs" dxfId="4" priority="2" operator="greaterThan">
      <formula>0</formula>
    </cfRule>
    <cfRule type="expression" dxfId="3" priority="87">
      <formula>AND((E3+D3)&gt;0,E3&lt;=0)</formula>
    </cfRule>
    <cfRule type="cellIs" dxfId="2" priority="88" operator="between">
      <formula>0</formula>
      <formula>-4</formula>
    </cfRule>
    <cfRule type="cellIs" dxfId="1" priority="89" operator="lessThan">
      <formula>-4</formula>
    </cfRule>
    <cfRule type="expression" dxfId="0" priority="90" stopIfTrue="1">
      <formula>0=1</formula>
    </cfRule>
  </conditionalFormatting>
  <pageMargins left="0.7" right="0.7" top="0.78740157499999996" bottom="0.78740157499999996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>
      <selection activeCell="F15" sqref="F15"/>
    </sheetView>
  </sheetViews>
  <sheetFormatPr baseColWidth="10" defaultRowHeight="14.4" x14ac:dyDescent="0.3"/>
  <cols>
    <col min="1" max="1" width="11.5546875" customWidth="1"/>
    <col min="2" max="2" width="9.5546875" style="31" customWidth="1"/>
    <col min="3" max="3" width="17.33203125" customWidth="1"/>
    <col min="4" max="4" width="5.5546875" customWidth="1"/>
    <col min="5" max="5" width="50.6640625" customWidth="1"/>
    <col min="6" max="6" width="12.44140625" customWidth="1"/>
    <col min="7" max="7" width="16.88671875" customWidth="1"/>
    <col min="8" max="8" width="10" style="43" customWidth="1"/>
    <col min="9" max="9" width="20.6640625" style="43" customWidth="1"/>
    <col min="10" max="10" width="5.44140625" customWidth="1"/>
    <col min="11" max="11" width="7.109375" customWidth="1"/>
    <col min="12" max="12" width="8.6640625" customWidth="1"/>
    <col min="13" max="13" width="11.5546875" style="43" customWidth="1"/>
  </cols>
  <sheetData>
    <row r="1" spans="1:14" x14ac:dyDescent="0.3">
      <c r="A1" s="29" t="s">
        <v>40</v>
      </c>
      <c r="B1" s="32" t="s">
        <v>41</v>
      </c>
      <c r="C1" s="29" t="s">
        <v>0</v>
      </c>
      <c r="D1" s="29" t="s">
        <v>42</v>
      </c>
      <c r="E1" s="29" t="s">
        <v>43</v>
      </c>
      <c r="F1" s="29" t="s">
        <v>44</v>
      </c>
      <c r="G1" s="29" t="s">
        <v>45</v>
      </c>
      <c r="H1" s="55" t="s">
        <v>46</v>
      </c>
      <c r="I1" s="56" t="s">
        <v>47</v>
      </c>
      <c r="K1" t="s">
        <v>48</v>
      </c>
      <c r="L1" t="s">
        <v>42</v>
      </c>
      <c r="M1" s="43" t="s">
        <v>49</v>
      </c>
      <c r="N1" s="42">
        <v>-0.12</v>
      </c>
    </row>
    <row r="2" spans="1:14" x14ac:dyDescent="0.3">
      <c r="B2">
        <v>5</v>
      </c>
      <c r="C2" t="s">
        <v>4</v>
      </c>
      <c r="D2">
        <v>6</v>
      </c>
      <c r="E2" t="s">
        <v>50</v>
      </c>
      <c r="F2" t="s">
        <v>51</v>
      </c>
      <c r="G2" t="s">
        <v>52</v>
      </c>
      <c r="H2" s="43">
        <v>29.5</v>
      </c>
      <c r="I2" s="43">
        <f>IF(OR(zuBestellen[[#This Row],[Stückzahl]]="",zuBestellen[[#This Row],[Einzelpreis (brutto)]]=""),"",zuBestellen[[#This Row],[Stückzahl]]*zuBestellen[[#This Row],[Einzelpreis (brutto)]])</f>
        <v>177</v>
      </c>
      <c r="K2">
        <v>3</v>
      </c>
      <c r="L2">
        <f>SUMIF(zuBestellen[Bestell Nr.],K2,zuBestellen[Stückzahl])</f>
        <v>0</v>
      </c>
      <c r="M2" s="43">
        <f>SUMIF(zuBestellen[Bestell Nr.],K2,zuBestellen[Gesamtpreis (brutto)])</f>
        <v>0</v>
      </c>
      <c r="N2" s="43">
        <f t="shared" ref="N2:N8" si="0">M2*0.88</f>
        <v>0</v>
      </c>
    </row>
    <row r="3" spans="1:14" x14ac:dyDescent="0.3">
      <c r="B3">
        <v>6</v>
      </c>
      <c r="C3" t="s">
        <v>1</v>
      </c>
      <c r="D3">
        <v>7</v>
      </c>
      <c r="E3" t="s">
        <v>53</v>
      </c>
      <c r="F3" t="s">
        <v>54</v>
      </c>
      <c r="G3" t="s">
        <v>55</v>
      </c>
      <c r="H3" s="43">
        <v>30.99</v>
      </c>
      <c r="I3" s="43">
        <f>IF(OR(zuBestellen[[#This Row],[Stückzahl]]="",zuBestellen[[#This Row],[Einzelpreis (brutto)]]=""),"",zuBestellen[[#This Row],[Stückzahl]]*zuBestellen[[#This Row],[Einzelpreis (brutto)]])</f>
        <v>216.92999999999998</v>
      </c>
      <c r="K3">
        <v>4</v>
      </c>
      <c r="L3">
        <f>SUMIF(zuBestellen[Bestell Nr.],K3,zuBestellen[Stückzahl])</f>
        <v>0</v>
      </c>
      <c r="M3" s="43">
        <f>SUMIF(zuBestellen[Bestell Nr.],K3,zuBestellen[Gesamtpreis (brutto)])</f>
        <v>0</v>
      </c>
      <c r="N3" s="43">
        <f t="shared" si="0"/>
        <v>0</v>
      </c>
    </row>
    <row r="4" spans="1:14" x14ac:dyDescent="0.3">
      <c r="B4">
        <v>6</v>
      </c>
      <c r="C4" t="s">
        <v>2</v>
      </c>
      <c r="D4">
        <v>9</v>
      </c>
      <c r="E4" t="s">
        <v>56</v>
      </c>
      <c r="F4" t="s">
        <v>57</v>
      </c>
      <c r="G4" t="s">
        <v>58</v>
      </c>
      <c r="H4" s="43">
        <v>23.75</v>
      </c>
      <c r="I4" s="43">
        <f>IF(OR(zuBestellen[[#This Row],[Stückzahl]]="",zuBestellen[[#This Row],[Einzelpreis (brutto)]]=""),"",zuBestellen[[#This Row],[Stückzahl]]*zuBestellen[[#This Row],[Einzelpreis (brutto)]])</f>
        <v>213.75</v>
      </c>
      <c r="K4">
        <v>5</v>
      </c>
      <c r="L4">
        <f>SUMIF(zuBestellen[Bestell Nr.],K4,zuBestellen[Stückzahl])</f>
        <v>0</v>
      </c>
      <c r="M4" s="43">
        <f>SUMIF(zuBestellen[Bestell Nr.],K4,zuBestellen[Gesamtpreis (brutto)])</f>
        <v>0</v>
      </c>
      <c r="N4" s="43">
        <f t="shared" si="0"/>
        <v>0</v>
      </c>
    </row>
    <row r="5" spans="1:14" x14ac:dyDescent="0.3">
      <c r="B5">
        <v>11</v>
      </c>
      <c r="C5" t="s">
        <v>12</v>
      </c>
      <c r="D5">
        <v>13</v>
      </c>
      <c r="E5" t="s">
        <v>59</v>
      </c>
      <c r="F5" t="s">
        <v>51</v>
      </c>
      <c r="G5" t="s">
        <v>60</v>
      </c>
      <c r="H5" s="43">
        <v>39.799999999999997</v>
      </c>
      <c r="I5" s="43">
        <f>IF(OR(zuBestellen[[#This Row],[Stückzahl]]="",zuBestellen[[#This Row],[Einzelpreis (brutto)]]=""),"",zuBestellen[[#This Row],[Stückzahl]]*zuBestellen[[#This Row],[Einzelpreis (brutto)]])</f>
        <v>517.4</v>
      </c>
      <c r="K5">
        <v>6</v>
      </c>
      <c r="L5">
        <f>SUMIF(zuBestellen[Bestell Nr.],K5,zuBestellen[Stückzahl])</f>
        <v>0</v>
      </c>
      <c r="M5" s="43">
        <f>SUMIF(zuBestellen[Bestell Nr.],K5,zuBestellen[Gesamtpreis (brutto)])</f>
        <v>0</v>
      </c>
      <c r="N5" s="43">
        <f t="shared" si="0"/>
        <v>0</v>
      </c>
    </row>
    <row r="6" spans="1:14" x14ac:dyDescent="0.3">
      <c r="B6">
        <v>7</v>
      </c>
      <c r="C6" t="s">
        <v>12</v>
      </c>
      <c r="D6">
        <v>9</v>
      </c>
      <c r="E6" t="s">
        <v>61</v>
      </c>
      <c r="F6" t="s">
        <v>51</v>
      </c>
      <c r="G6" t="s">
        <v>62</v>
      </c>
      <c r="H6" s="43">
        <v>31</v>
      </c>
      <c r="I6" s="43">
        <f>IF(OR(zuBestellen[[#This Row],[Stückzahl]]="",zuBestellen[[#This Row],[Einzelpreis (brutto)]]=""),"",zuBestellen[[#This Row],[Stückzahl]]*zuBestellen[[#This Row],[Einzelpreis (brutto)]])</f>
        <v>279</v>
      </c>
      <c r="K6">
        <v>7</v>
      </c>
      <c r="L6">
        <f>SUMIF(zuBestellen[Bestell Nr.],K6,zuBestellen[Stückzahl])</f>
        <v>0</v>
      </c>
      <c r="M6" s="43">
        <f>SUMIF(zuBestellen[Bestell Nr.],K6,zuBestellen[Gesamtpreis (brutto)])</f>
        <v>0</v>
      </c>
      <c r="N6" s="43">
        <f t="shared" si="0"/>
        <v>0</v>
      </c>
    </row>
    <row r="7" spans="1:14" x14ac:dyDescent="0.3">
      <c r="A7" t="s">
        <v>63</v>
      </c>
      <c r="D7">
        <f>SUBTOTAL(109,zuBestellen[Stückzahl])</f>
        <v>44</v>
      </c>
      <c r="I7" s="43">
        <f>SUBTOTAL(109,zuBestellen[Gesamtpreis (brutto)])</f>
        <v>1404.08</v>
      </c>
      <c r="K7">
        <v>8</v>
      </c>
      <c r="L7">
        <f>SUMIF(zuBestellen[Bestell Nr.],K7,zuBestellen[Stückzahl])</f>
        <v>0</v>
      </c>
      <c r="M7" s="43">
        <f>SUMIF(zuBestellen[Bestell Nr.],K7,zuBestellen[Gesamtpreis (brutto)])</f>
        <v>0</v>
      </c>
      <c r="N7" s="43">
        <f t="shared" si="0"/>
        <v>0</v>
      </c>
    </row>
    <row r="8" spans="1:14" x14ac:dyDescent="0.3">
      <c r="K8" t="s">
        <v>64</v>
      </c>
      <c r="L8">
        <f>SUM(L2:L7)</f>
        <v>0</v>
      </c>
      <c r="M8" s="43">
        <f>SUM(M2:M7)</f>
        <v>0</v>
      </c>
      <c r="N8" s="43">
        <f t="shared" si="0"/>
        <v>0</v>
      </c>
    </row>
    <row r="37" spans="2:2" x14ac:dyDescent="0.3">
      <c r="B37" s="33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M14"/>
  <sheetViews>
    <sheetView workbookViewId="0">
      <selection activeCell="G18" sqref="G18"/>
    </sheetView>
  </sheetViews>
  <sheetFormatPr baseColWidth="10" defaultRowHeight="14.4" x14ac:dyDescent="0.3"/>
  <cols>
    <col min="1" max="1" width="11.44140625" customWidth="1"/>
    <col min="4" max="4" width="31.33203125" customWidth="1"/>
    <col min="6" max="6" width="18.109375" customWidth="1"/>
    <col min="7" max="7" width="18.6640625" style="43" customWidth="1"/>
    <col min="8" max="8" width="20.33203125" style="43" customWidth="1"/>
  </cols>
  <sheetData>
    <row r="1" spans="1:13" x14ac:dyDescent="0.3">
      <c r="A1" s="30" t="s">
        <v>65</v>
      </c>
      <c r="B1" s="29" t="s">
        <v>66</v>
      </c>
      <c r="C1" s="29" t="s">
        <v>42</v>
      </c>
      <c r="D1" s="29" t="s">
        <v>43</v>
      </c>
      <c r="E1" s="29" t="s">
        <v>44</v>
      </c>
      <c r="F1" s="29" t="s">
        <v>45</v>
      </c>
      <c r="G1" s="44" t="s">
        <v>46</v>
      </c>
      <c r="H1" s="45" t="s">
        <v>47</v>
      </c>
      <c r="J1" t="s">
        <v>48</v>
      </c>
      <c r="K1" t="s">
        <v>42</v>
      </c>
      <c r="L1" s="43" t="s">
        <v>49</v>
      </c>
      <c r="M1" s="42">
        <v>-0.12</v>
      </c>
    </row>
    <row r="2" spans="1:13" x14ac:dyDescent="0.3">
      <c r="A2">
        <v>8</v>
      </c>
      <c r="B2">
        <v>1</v>
      </c>
      <c r="C2">
        <v>10</v>
      </c>
      <c r="D2" t="s">
        <v>140</v>
      </c>
      <c r="E2" t="s">
        <v>57</v>
      </c>
      <c r="F2" t="s">
        <v>58</v>
      </c>
      <c r="G2" s="43">
        <v>23.75</v>
      </c>
      <c r="H2" s="43">
        <f>IF(OR(bestellt[[#This Row],[Stückzahl]]="",bestellt[[#This Row],[Einzelpreis (brutto)]]=""),"",bestellt[[#This Row],[Stückzahl]]*bestellt[[#This Row],[Einzelpreis (brutto)]])</f>
        <v>237.5</v>
      </c>
      <c r="J2">
        <v>1</v>
      </c>
      <c r="K2">
        <f>SUMIF(bestellt[B. Lfd.-Nr.],J2,bestellt[Stückzahl])</f>
        <v>0</v>
      </c>
      <c r="L2" s="43">
        <f>SUMIF(bestellt[B. Lfd.-Nr.],J2,bestellt[Gesamtpreis (brutto)])</f>
        <v>0</v>
      </c>
      <c r="M2" s="43">
        <f t="shared" ref="M2:M13" si="0">L2*0.88</f>
        <v>0</v>
      </c>
    </row>
    <row r="3" spans="1:13" x14ac:dyDescent="0.3">
      <c r="A3">
        <v>8</v>
      </c>
      <c r="B3">
        <v>2</v>
      </c>
      <c r="C3">
        <v>60</v>
      </c>
      <c r="D3" t="s">
        <v>141</v>
      </c>
      <c r="E3" t="s">
        <v>57</v>
      </c>
      <c r="F3" t="s">
        <v>142</v>
      </c>
      <c r="G3" s="43">
        <v>23.75</v>
      </c>
      <c r="H3" s="43">
        <f>IF(OR(bestellt[[#This Row],[Stückzahl]]="",bestellt[[#This Row],[Einzelpreis (brutto)]]=""),"",bestellt[[#This Row],[Stückzahl]]*bestellt[[#This Row],[Einzelpreis (brutto)]])</f>
        <v>1425</v>
      </c>
      <c r="J3">
        <v>2</v>
      </c>
      <c r="K3">
        <f>SUMIF(bestellt[B. Lfd.-Nr.],J3,bestellt[Stückzahl])</f>
        <v>0</v>
      </c>
      <c r="L3" s="43">
        <f>SUMIF(bestellt[B. Lfd.-Nr.],J3,bestellt[Gesamtpreis (brutto)])</f>
        <v>0</v>
      </c>
      <c r="M3" s="43">
        <f t="shared" si="0"/>
        <v>0</v>
      </c>
    </row>
    <row r="4" spans="1:13" x14ac:dyDescent="0.3">
      <c r="A4">
        <v>8</v>
      </c>
      <c r="B4">
        <v>3</v>
      </c>
      <c r="C4">
        <v>10</v>
      </c>
      <c r="D4" t="s">
        <v>143</v>
      </c>
      <c r="E4" t="s">
        <v>51</v>
      </c>
      <c r="F4" t="s">
        <v>62</v>
      </c>
      <c r="G4" s="43">
        <v>31</v>
      </c>
      <c r="H4" s="43">
        <f>IF(OR(bestellt[[#This Row],[Stückzahl]]="",bestellt[[#This Row],[Einzelpreis (brutto)]]=""),"",bestellt[[#This Row],[Stückzahl]]*bestellt[[#This Row],[Einzelpreis (brutto)]])</f>
        <v>310</v>
      </c>
      <c r="J4">
        <v>3</v>
      </c>
      <c r="K4">
        <f>SUMIF(bestellt[B. Lfd.-Nr.],J4,bestellt[Stückzahl])</f>
        <v>0</v>
      </c>
      <c r="L4" s="43">
        <f>SUMIF(bestellt[B. Lfd.-Nr.],J4,bestellt[Gesamtpreis (brutto)])</f>
        <v>0</v>
      </c>
      <c r="M4" s="43">
        <f t="shared" si="0"/>
        <v>0</v>
      </c>
    </row>
    <row r="5" spans="1:13" x14ac:dyDescent="0.3">
      <c r="A5">
        <v>9</v>
      </c>
      <c r="B5">
        <v>1</v>
      </c>
      <c r="C5">
        <v>60</v>
      </c>
      <c r="D5" t="s">
        <v>144</v>
      </c>
      <c r="E5" t="s">
        <v>51</v>
      </c>
      <c r="F5" s="43" t="s">
        <v>145</v>
      </c>
      <c r="G5" s="43">
        <v>38</v>
      </c>
      <c r="H5" s="43">
        <f>IF(OR(bestellt[[#This Row],[Stückzahl]]="",bestellt[[#This Row],[Einzelpreis (brutto)]]=""),"",bestellt[[#This Row],[Stückzahl]]*bestellt[[#This Row],[Einzelpreis (brutto)]])</f>
        <v>2280</v>
      </c>
      <c r="J5">
        <v>4</v>
      </c>
      <c r="K5">
        <f>SUMIF(bestellt[B. Lfd.-Nr.],J5,bestellt[Stückzahl])</f>
        <v>0</v>
      </c>
      <c r="L5" s="43">
        <f>SUMIF(bestellt[B. Lfd.-Nr.],J5,bestellt[Gesamtpreis (brutto)])</f>
        <v>0</v>
      </c>
      <c r="M5" s="43">
        <f t="shared" si="0"/>
        <v>0</v>
      </c>
    </row>
    <row r="6" spans="1:13" x14ac:dyDescent="0.3">
      <c r="A6">
        <v>9</v>
      </c>
      <c r="B6">
        <v>2</v>
      </c>
      <c r="C6">
        <v>45</v>
      </c>
      <c r="D6" t="s">
        <v>146</v>
      </c>
      <c r="E6" t="s">
        <v>57</v>
      </c>
      <c r="F6" s="43" t="s">
        <v>147</v>
      </c>
      <c r="G6" s="43">
        <v>23.25</v>
      </c>
      <c r="H6" s="43">
        <f>IF(OR(bestellt[[#This Row],[Stückzahl]]="",bestellt[[#This Row],[Einzelpreis (brutto)]]=""),"",bestellt[[#This Row],[Stückzahl]]*bestellt[[#This Row],[Einzelpreis (brutto)]])</f>
        <v>1046.25</v>
      </c>
      <c r="J6">
        <v>5</v>
      </c>
      <c r="K6">
        <f>SUMIF(bestellt[B. Lfd.-Nr.],J6,bestellt[Stückzahl])</f>
        <v>0</v>
      </c>
      <c r="L6" s="43">
        <f>SUMIF(bestellt[B. Lfd.-Nr.],J6,bestellt[Gesamtpreis (brutto)])</f>
        <v>0</v>
      </c>
      <c r="M6" s="43">
        <f t="shared" si="0"/>
        <v>0</v>
      </c>
    </row>
    <row r="7" spans="1:13" x14ac:dyDescent="0.3">
      <c r="A7">
        <v>9</v>
      </c>
      <c r="B7">
        <v>3</v>
      </c>
      <c r="C7">
        <v>10</v>
      </c>
      <c r="D7" t="s">
        <v>148</v>
      </c>
      <c r="E7" t="s">
        <v>54</v>
      </c>
      <c r="F7" s="43" t="s">
        <v>55</v>
      </c>
      <c r="G7" s="43">
        <v>30.99</v>
      </c>
      <c r="H7" s="43">
        <f>IF(OR(bestellt[[#This Row],[Stückzahl]]="",bestellt[[#This Row],[Einzelpreis (brutto)]]=""),"",bestellt[[#This Row],[Stückzahl]]*bestellt[[#This Row],[Einzelpreis (brutto)]])</f>
        <v>309.89999999999998</v>
      </c>
      <c r="J7">
        <v>6</v>
      </c>
      <c r="K7">
        <f>SUMIF(bestellt[B. Lfd.-Nr.],J7,bestellt[Stückzahl])</f>
        <v>0</v>
      </c>
      <c r="L7" s="43">
        <f>SUMIF(bestellt[B. Lfd.-Nr.],J7,bestellt[Gesamtpreis (brutto)])</f>
        <v>0</v>
      </c>
      <c r="M7" s="43">
        <f t="shared" si="0"/>
        <v>0</v>
      </c>
    </row>
    <row r="8" spans="1:13" x14ac:dyDescent="0.3">
      <c r="C8">
        <v>7</v>
      </c>
      <c r="D8" t="s">
        <v>77</v>
      </c>
      <c r="E8" t="s">
        <v>51</v>
      </c>
      <c r="F8" t="s">
        <v>78</v>
      </c>
      <c r="G8" s="43">
        <v>29.5</v>
      </c>
      <c r="H8" s="43">
        <f>IF(OR(bestellt[[#This Row],[Stückzahl]]="",bestellt[[#This Row],[Einzelpreis (brutto)]]=""),"",bestellt[[#This Row],[Stückzahl]]*bestellt[[#This Row],[Einzelpreis (brutto)]])</f>
        <v>206.5</v>
      </c>
      <c r="J8">
        <v>7</v>
      </c>
      <c r="K8">
        <f>SUMIF(bestellt[B. Lfd.-Nr.],J8,bestellt[Stückzahl])</f>
        <v>0</v>
      </c>
      <c r="L8" s="43">
        <f>SUMIF(bestellt[B. Lfd.-Nr.],J8,bestellt[Gesamtpreis (brutto)])</f>
        <v>0</v>
      </c>
      <c r="M8" s="43">
        <f t="shared" si="0"/>
        <v>0</v>
      </c>
    </row>
    <row r="9" spans="1:13" x14ac:dyDescent="0.3">
      <c r="J9">
        <v>8</v>
      </c>
      <c r="K9">
        <f>SUMIF(bestellt[B. Lfd.-Nr.],J9,bestellt[Stückzahl])</f>
        <v>80</v>
      </c>
      <c r="L9" s="43">
        <f>SUMIF(bestellt[B. Lfd.-Nr.],J9,bestellt[Gesamtpreis (brutto)])</f>
        <v>1972.5</v>
      </c>
      <c r="M9" s="43">
        <f t="shared" si="0"/>
        <v>1735.8</v>
      </c>
    </row>
    <row r="10" spans="1:13" x14ac:dyDescent="0.3">
      <c r="J10">
        <v>9</v>
      </c>
      <c r="K10">
        <f>SUMIF(bestellt[B. Lfd.-Nr.],J10,bestellt[Stückzahl])</f>
        <v>115</v>
      </c>
      <c r="L10" s="43">
        <f>SUMIF(bestellt[B. Lfd.-Nr.],J10,bestellt[Gesamtpreis (brutto)])</f>
        <v>3636.15</v>
      </c>
      <c r="M10" s="43">
        <f t="shared" si="0"/>
        <v>3199.8119999999999</v>
      </c>
    </row>
    <row r="11" spans="1:13" x14ac:dyDescent="0.3">
      <c r="J11">
        <v>10</v>
      </c>
      <c r="K11">
        <f>SUMIF(bestellt[B. Lfd.-Nr.],J11,bestellt[Stückzahl])</f>
        <v>0</v>
      </c>
      <c r="L11" s="43">
        <f>SUMIF(bestellt[B. Lfd.-Nr.],J11,bestellt[Gesamtpreis (brutto)])</f>
        <v>0</v>
      </c>
      <c r="M11" s="43">
        <f t="shared" si="0"/>
        <v>0</v>
      </c>
    </row>
    <row r="12" spans="1:13" x14ac:dyDescent="0.3">
      <c r="F12" s="54"/>
      <c r="J12">
        <v>11</v>
      </c>
      <c r="K12">
        <f>SUMIF(bestellt[B. Lfd.-Nr.],J12,bestellt[Stückzahl])</f>
        <v>0</v>
      </c>
      <c r="L12" s="43">
        <f>SUMIF(bestellt[B. Lfd.-Nr.],J12,bestellt[Gesamtpreis (brutto)])</f>
        <v>0</v>
      </c>
      <c r="M12" s="43">
        <f t="shared" si="0"/>
        <v>0</v>
      </c>
    </row>
    <row r="13" spans="1:13" x14ac:dyDescent="0.3">
      <c r="F13" s="54"/>
      <c r="J13" t="s">
        <v>64</v>
      </c>
      <c r="K13">
        <f>SUM(K2:K12)</f>
        <v>195</v>
      </c>
      <c r="L13" s="43">
        <f>SUM(L2:L12)</f>
        <v>5608.65</v>
      </c>
      <c r="M13" s="43">
        <f t="shared" si="0"/>
        <v>4935.6120000000001</v>
      </c>
    </row>
    <row r="14" spans="1:13" x14ac:dyDescent="0.3">
      <c r="F14" s="54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/>
  <dimension ref="A1:M42"/>
  <sheetViews>
    <sheetView workbookViewId="0">
      <selection activeCell="G15" sqref="G15"/>
    </sheetView>
  </sheetViews>
  <sheetFormatPr baseColWidth="10" defaultRowHeight="14.4" x14ac:dyDescent="0.3"/>
  <cols>
    <col min="1" max="1" width="11.44140625" customWidth="1"/>
    <col min="4" max="4" width="25.5546875" customWidth="1"/>
    <col min="6" max="6" width="16" customWidth="1"/>
    <col min="7" max="7" width="18.6640625" style="43" customWidth="1"/>
    <col min="8" max="8" width="20.33203125" style="43" customWidth="1"/>
  </cols>
  <sheetData>
    <row r="1" spans="1:13" x14ac:dyDescent="0.3">
      <c r="A1" s="30" t="s">
        <v>65</v>
      </c>
      <c r="B1" s="29" t="s">
        <v>66</v>
      </c>
      <c r="C1" s="29" t="s">
        <v>42</v>
      </c>
      <c r="D1" s="29" t="s">
        <v>43</v>
      </c>
      <c r="E1" s="29" t="s">
        <v>44</v>
      </c>
      <c r="F1" s="29" t="s">
        <v>45</v>
      </c>
      <c r="G1" s="44" t="s">
        <v>46</v>
      </c>
      <c r="H1" s="45" t="s">
        <v>47</v>
      </c>
      <c r="J1" t="s">
        <v>48</v>
      </c>
      <c r="K1" t="s">
        <v>42</v>
      </c>
      <c r="L1" s="43" t="s">
        <v>49</v>
      </c>
      <c r="M1" s="42">
        <v>-0.12</v>
      </c>
    </row>
    <row r="2" spans="1:13" x14ac:dyDescent="0.3">
      <c r="A2">
        <v>1</v>
      </c>
      <c r="B2">
        <v>1</v>
      </c>
      <c r="C2">
        <v>70</v>
      </c>
      <c r="D2" t="s">
        <v>79</v>
      </c>
      <c r="E2" t="s">
        <v>51</v>
      </c>
      <c r="F2" t="s">
        <v>80</v>
      </c>
      <c r="G2" s="43">
        <v>29</v>
      </c>
      <c r="H2" s="43">
        <f>IF(OR(erhalten[[#This Row],[Stückzahl]]="",erhalten[[#This Row],[Einzelpreis (brutto)]]=""),"",erhalten[[#This Row],[Stückzahl]]*erhalten[[#This Row],[Einzelpreis (brutto)]])</f>
        <v>2030</v>
      </c>
      <c r="J2">
        <v>1</v>
      </c>
      <c r="K2">
        <f>SUMIF(erhalten[B. Lfd.-Nr.],J2,erhalten[Stückzahl])</f>
        <v>70</v>
      </c>
      <c r="L2" s="43">
        <f>SUMIF(erhalten[B. Lfd.-Nr.],J2,erhalten[Gesamtpreis (brutto)])</f>
        <v>2030</v>
      </c>
      <c r="M2" s="43">
        <f t="shared" ref="M2:M14" si="0">L2*0.88</f>
        <v>1786.4</v>
      </c>
    </row>
    <row r="3" spans="1:13" x14ac:dyDescent="0.3">
      <c r="A3">
        <v>2</v>
      </c>
      <c r="B3">
        <v>1</v>
      </c>
      <c r="C3">
        <v>17</v>
      </c>
      <c r="D3" t="s">
        <v>81</v>
      </c>
      <c r="E3" t="s">
        <v>51</v>
      </c>
      <c r="F3" t="s">
        <v>82</v>
      </c>
      <c r="G3" s="43">
        <v>34</v>
      </c>
      <c r="H3" s="43">
        <f>IF(OR(erhalten[[#This Row],[Stückzahl]]="",erhalten[[#This Row],[Einzelpreis (brutto)]]=""),"",erhalten[[#This Row],[Stückzahl]]*erhalten[[#This Row],[Einzelpreis (brutto)]])</f>
        <v>578</v>
      </c>
      <c r="J3">
        <v>2</v>
      </c>
      <c r="K3">
        <f>SUMIF(erhalten[B. Lfd.-Nr.],J3,erhalten[Stückzahl])</f>
        <v>57</v>
      </c>
      <c r="L3" s="43">
        <f>SUMIF(erhalten[B. Lfd.-Nr.],J3,erhalten[Gesamtpreis (brutto)])</f>
        <v>1818</v>
      </c>
      <c r="M3" s="43">
        <f t="shared" si="0"/>
        <v>1599.84</v>
      </c>
    </row>
    <row r="4" spans="1:13" x14ac:dyDescent="0.3">
      <c r="A4">
        <v>2</v>
      </c>
      <c r="B4">
        <v>2</v>
      </c>
      <c r="C4">
        <v>40</v>
      </c>
      <c r="D4" t="s">
        <v>83</v>
      </c>
      <c r="E4" t="s">
        <v>51</v>
      </c>
      <c r="F4" t="s">
        <v>84</v>
      </c>
      <c r="G4" s="43">
        <v>31</v>
      </c>
      <c r="H4" s="43">
        <f>IF(OR(erhalten[[#This Row],[Stückzahl]]="",erhalten[[#This Row],[Einzelpreis (brutto)]]=""),"",erhalten[[#This Row],[Stückzahl]]*erhalten[[#This Row],[Einzelpreis (brutto)]])</f>
        <v>1240</v>
      </c>
      <c r="J4">
        <v>3</v>
      </c>
      <c r="K4">
        <f>SUMIF(erhalten[B. Lfd.-Nr.],J4,erhalten[Stückzahl])</f>
        <v>119</v>
      </c>
      <c r="L4" s="43">
        <f>SUMIF(erhalten[B. Lfd.-Nr.],J4,erhalten[Gesamtpreis (brutto)])</f>
        <v>4343.3999999999996</v>
      </c>
      <c r="M4" s="43">
        <f t="shared" si="0"/>
        <v>3822.1919999999996</v>
      </c>
    </row>
    <row r="5" spans="1:13" x14ac:dyDescent="0.3">
      <c r="A5">
        <v>3</v>
      </c>
      <c r="B5">
        <v>1</v>
      </c>
      <c r="C5">
        <v>22</v>
      </c>
      <c r="D5" t="s">
        <v>67</v>
      </c>
      <c r="E5" t="s">
        <v>51</v>
      </c>
      <c r="F5" t="s">
        <v>68</v>
      </c>
      <c r="G5" s="43">
        <v>31.5</v>
      </c>
      <c r="H5" s="43">
        <f>IF(OR(erhalten[[#This Row],[Stückzahl]]="",erhalten[[#This Row],[Einzelpreis (brutto)]]=""),"",erhalten[[#This Row],[Stückzahl]]*erhalten[[#This Row],[Einzelpreis (brutto)]])</f>
        <v>693</v>
      </c>
      <c r="J5">
        <v>4</v>
      </c>
      <c r="K5">
        <f>SUMIF(erhalten[B. Lfd.-Nr.],J5,erhalten[Stückzahl])</f>
        <v>195</v>
      </c>
      <c r="L5" s="43">
        <f>SUMIF(erhalten[B. Lfd.-Nr.],J5,erhalten[Gesamtpreis (brutto)])</f>
        <v>5591.05</v>
      </c>
      <c r="M5" s="43">
        <f t="shared" si="0"/>
        <v>4920.1239999999998</v>
      </c>
    </row>
    <row r="6" spans="1:13" x14ac:dyDescent="0.3">
      <c r="A6">
        <v>3</v>
      </c>
      <c r="B6">
        <v>1</v>
      </c>
      <c r="C6">
        <v>19</v>
      </c>
      <c r="D6" t="s">
        <v>67</v>
      </c>
      <c r="E6" t="s">
        <v>51</v>
      </c>
      <c r="F6" t="s">
        <v>68</v>
      </c>
      <c r="G6" s="43">
        <v>31.5</v>
      </c>
      <c r="H6" s="43">
        <f>IF(OR(erhalten[[#This Row],[Stückzahl]]="",erhalten[[#This Row],[Einzelpreis (brutto)]]=""),"",erhalten[[#This Row],[Stückzahl]]*erhalten[[#This Row],[Einzelpreis (brutto)]])</f>
        <v>598.5</v>
      </c>
      <c r="J6">
        <v>5</v>
      </c>
      <c r="K6">
        <f>SUMIF(erhalten[B. Lfd.-Nr.],J6,erhalten[Stückzahl])</f>
        <v>202</v>
      </c>
      <c r="L6" s="43">
        <f>SUMIF(erhalten[B. Lfd.-Nr.],J6,erhalten[Gesamtpreis (brutto)])</f>
        <v>6520.8799999999992</v>
      </c>
      <c r="M6" s="43">
        <f t="shared" si="0"/>
        <v>5738.3743999999997</v>
      </c>
    </row>
    <row r="7" spans="1:13" x14ac:dyDescent="0.3">
      <c r="A7">
        <v>3</v>
      </c>
      <c r="B7">
        <v>2</v>
      </c>
      <c r="C7">
        <v>7</v>
      </c>
      <c r="D7" t="s">
        <v>137</v>
      </c>
      <c r="E7" t="s">
        <v>138</v>
      </c>
      <c r="F7" t="s">
        <v>139</v>
      </c>
      <c r="G7" s="43">
        <v>29</v>
      </c>
      <c r="H7" s="43">
        <f>IF(OR(erhalten[[#This Row],[Stückzahl]]="",erhalten[[#This Row],[Einzelpreis (brutto)]]=""),"",erhalten[[#This Row],[Stückzahl]]*erhalten[[#This Row],[Einzelpreis (brutto)]])</f>
        <v>203</v>
      </c>
      <c r="J7">
        <v>6</v>
      </c>
      <c r="K7">
        <f>SUMIF(erhalten[B. Lfd.-Nr.],J7,erhalten[Stückzahl])</f>
        <v>134</v>
      </c>
      <c r="L7" s="43">
        <f>SUMIF(erhalten[B. Lfd.-Nr.],J7,erhalten[Gesamtpreis (brutto)])</f>
        <v>4356.3500000000004</v>
      </c>
      <c r="M7" s="43">
        <f t="shared" si="0"/>
        <v>3833.5880000000002</v>
      </c>
    </row>
    <row r="8" spans="1:13" x14ac:dyDescent="0.3">
      <c r="A8">
        <v>3</v>
      </c>
      <c r="B8">
        <v>3</v>
      </c>
      <c r="C8">
        <v>10</v>
      </c>
      <c r="D8" t="s">
        <v>83</v>
      </c>
      <c r="E8" t="s">
        <v>115</v>
      </c>
      <c r="F8" t="s">
        <v>84</v>
      </c>
      <c r="G8" s="43">
        <v>31</v>
      </c>
      <c r="H8" s="43">
        <f>IF(OR(erhalten[[#This Row],[Stückzahl]]="",erhalten[[#This Row],[Einzelpreis (brutto)]]=""),"",erhalten[[#This Row],[Stückzahl]]*erhalten[[#This Row],[Einzelpreis (brutto)]])</f>
        <v>310</v>
      </c>
      <c r="J8">
        <v>7</v>
      </c>
      <c r="K8">
        <f>SUMIF(erhalten[B. Lfd.-Nr.],J8,erhalten[Stückzahl])</f>
        <v>0</v>
      </c>
      <c r="L8" s="43">
        <f>SUMIF(erhalten[B. Lfd.-Nr.],J8,erhalten[Gesamtpreis (brutto)])</f>
        <v>0</v>
      </c>
      <c r="M8" s="43">
        <f t="shared" si="0"/>
        <v>0</v>
      </c>
    </row>
    <row r="9" spans="1:13" x14ac:dyDescent="0.3">
      <c r="A9">
        <v>3</v>
      </c>
      <c r="B9">
        <v>4</v>
      </c>
      <c r="C9">
        <v>6</v>
      </c>
      <c r="D9" t="s">
        <v>116</v>
      </c>
      <c r="E9" t="s">
        <v>115</v>
      </c>
      <c r="F9" t="s">
        <v>117</v>
      </c>
      <c r="G9" s="43">
        <v>38</v>
      </c>
      <c r="H9" s="43">
        <f>IF(OR(erhalten[[#This Row],[Stückzahl]]="",erhalten[[#This Row],[Einzelpreis (brutto)]]=""),"",erhalten[[#This Row],[Stückzahl]]*erhalten[[#This Row],[Einzelpreis (brutto)]])</f>
        <v>228</v>
      </c>
      <c r="J9">
        <v>8</v>
      </c>
      <c r="K9">
        <f>SUMIF(erhalten[B. Lfd.-Nr.],J9,erhalten[Stückzahl])</f>
        <v>0</v>
      </c>
      <c r="L9" s="43">
        <f>SUMIF(erhalten[B. Lfd.-Nr.],J9,erhalten[Gesamtpreis (brutto)])</f>
        <v>0</v>
      </c>
      <c r="M9" s="43">
        <f t="shared" si="0"/>
        <v>0</v>
      </c>
    </row>
    <row r="10" spans="1:13" x14ac:dyDescent="0.3">
      <c r="A10">
        <v>3</v>
      </c>
      <c r="B10">
        <v>5</v>
      </c>
      <c r="C10">
        <v>18</v>
      </c>
      <c r="D10" t="s">
        <v>123</v>
      </c>
      <c r="E10" t="s">
        <v>119</v>
      </c>
      <c r="F10" t="s">
        <v>124</v>
      </c>
      <c r="G10" s="43">
        <v>24.95</v>
      </c>
      <c r="H10" s="43">
        <f>IF(OR(erhalten[[#This Row],[Stückzahl]]="",erhalten[[#This Row],[Einzelpreis (brutto)]]=""),"",erhalten[[#This Row],[Stückzahl]]*erhalten[[#This Row],[Einzelpreis (brutto)]])</f>
        <v>449.09999999999997</v>
      </c>
      <c r="J10">
        <v>9</v>
      </c>
      <c r="K10">
        <f>SUMIF(erhalten[B. Lfd.-Nr.],J10,erhalten[Stückzahl])</f>
        <v>0</v>
      </c>
      <c r="L10" s="43">
        <f>SUMIF(erhalten[B. Lfd.-Nr.],J10,erhalten[Gesamtpreis (brutto)])</f>
        <v>0</v>
      </c>
      <c r="M10" s="43">
        <f t="shared" si="0"/>
        <v>0</v>
      </c>
    </row>
    <row r="11" spans="1:13" x14ac:dyDescent="0.3">
      <c r="A11">
        <v>3</v>
      </c>
      <c r="B11">
        <v>6</v>
      </c>
      <c r="C11">
        <v>14</v>
      </c>
      <c r="D11" t="s">
        <v>118</v>
      </c>
      <c r="E11" t="s">
        <v>119</v>
      </c>
      <c r="F11" t="s">
        <v>120</v>
      </c>
      <c r="G11" s="43">
        <v>54.95</v>
      </c>
      <c r="H11" s="43">
        <f>IF(OR(erhalten[[#This Row],[Stückzahl]]="",erhalten[[#This Row],[Einzelpreis (brutto)]]=""),"",erhalten[[#This Row],[Stückzahl]]*erhalten[[#This Row],[Einzelpreis (brutto)]])</f>
        <v>769.30000000000007</v>
      </c>
      <c r="J11">
        <v>10</v>
      </c>
      <c r="K11">
        <f>SUMIF(erhalten[B. Lfd.-Nr.],J11,erhalten[Stückzahl])</f>
        <v>0</v>
      </c>
      <c r="L11" s="43">
        <f>SUMIF(erhalten[B. Lfd.-Nr.],J11,erhalten[Gesamtpreis (brutto)])</f>
        <v>0</v>
      </c>
      <c r="M11" s="43">
        <f t="shared" si="0"/>
        <v>0</v>
      </c>
    </row>
    <row r="12" spans="1:13" x14ac:dyDescent="0.3">
      <c r="A12">
        <v>3</v>
      </c>
      <c r="B12">
        <v>7</v>
      </c>
      <c r="C12">
        <v>23</v>
      </c>
      <c r="D12" t="s">
        <v>121</v>
      </c>
      <c r="E12" t="s">
        <v>119</v>
      </c>
      <c r="F12" t="s">
        <v>122</v>
      </c>
      <c r="G12" s="43">
        <v>47.5</v>
      </c>
      <c r="H12" s="43">
        <f>IF(OR(erhalten[[#This Row],[Stückzahl]]="",erhalten[[#This Row],[Einzelpreis (brutto)]]=""),"",erhalten[[#This Row],[Stückzahl]]*erhalten[[#This Row],[Einzelpreis (brutto)]])</f>
        <v>1092.5</v>
      </c>
      <c r="J12">
        <v>11</v>
      </c>
      <c r="K12">
        <f>SUMIF(erhalten[B. Lfd.-Nr.],J12,erhalten[Stückzahl])</f>
        <v>0</v>
      </c>
      <c r="L12" s="43">
        <f>SUMIF(erhalten[B. Lfd.-Nr.],J12,erhalten[Gesamtpreis (brutto)])</f>
        <v>0</v>
      </c>
      <c r="M12" s="43">
        <f t="shared" si="0"/>
        <v>0</v>
      </c>
    </row>
    <row r="13" spans="1:13" x14ac:dyDescent="0.3">
      <c r="A13">
        <v>4</v>
      </c>
      <c r="B13">
        <v>1</v>
      </c>
      <c r="C13">
        <v>46</v>
      </c>
      <c r="D13" t="s">
        <v>125</v>
      </c>
      <c r="E13" t="s">
        <v>57</v>
      </c>
      <c r="F13" t="s">
        <v>126</v>
      </c>
      <c r="G13" s="43">
        <v>26.95</v>
      </c>
      <c r="H13" s="43">
        <f>IF(OR(erhalten[[#This Row],[Stückzahl]]="",erhalten[[#This Row],[Einzelpreis (brutto)]]=""),"",erhalten[[#This Row],[Stückzahl]]*erhalten[[#This Row],[Einzelpreis (brutto)]])</f>
        <v>1239.7</v>
      </c>
      <c r="J13">
        <v>12</v>
      </c>
      <c r="K13">
        <f>SUMIF(erhalten[B. Lfd.-Nr.],J13,erhalten[Stückzahl])</f>
        <v>0</v>
      </c>
      <c r="L13" s="43">
        <f>SUMIF(erhalten[B. Lfd.-Nr.],J13,erhalten[Gesamtpreis (brutto)])</f>
        <v>0</v>
      </c>
      <c r="M13" s="43">
        <f t="shared" si="0"/>
        <v>0</v>
      </c>
    </row>
    <row r="14" spans="1:13" x14ac:dyDescent="0.3">
      <c r="A14">
        <v>4</v>
      </c>
      <c r="B14">
        <v>2</v>
      </c>
      <c r="C14">
        <v>51</v>
      </c>
      <c r="D14" t="s">
        <v>127</v>
      </c>
      <c r="E14" t="s">
        <v>57</v>
      </c>
      <c r="F14" t="s">
        <v>128</v>
      </c>
      <c r="G14" s="43">
        <v>23.75</v>
      </c>
      <c r="H14" s="43">
        <f>IF(OR(erhalten[[#This Row],[Stückzahl]]="",erhalten[[#This Row],[Einzelpreis (brutto)]]=""),"",erhalten[[#This Row],[Stückzahl]]*erhalten[[#This Row],[Einzelpreis (brutto)]])</f>
        <v>1211.25</v>
      </c>
      <c r="J14" t="s">
        <v>64</v>
      </c>
      <c r="K14">
        <f>SUM(K2:K13)</f>
        <v>777</v>
      </c>
      <c r="L14" s="43">
        <f>SUM(L2:L13)</f>
        <v>24659.68</v>
      </c>
      <c r="M14" s="43">
        <f t="shared" si="0"/>
        <v>21700.518400000001</v>
      </c>
    </row>
    <row r="15" spans="1:13" x14ac:dyDescent="0.3">
      <c r="A15">
        <v>4</v>
      </c>
      <c r="B15">
        <v>3</v>
      </c>
      <c r="C15">
        <v>12</v>
      </c>
      <c r="D15" t="s">
        <v>69</v>
      </c>
      <c r="E15" t="s">
        <v>57</v>
      </c>
      <c r="F15" t="s">
        <v>70</v>
      </c>
      <c r="G15" s="43">
        <v>35.950000000000003</v>
      </c>
      <c r="H15" s="43">
        <f>IF(OR(erhalten[[#This Row],[Stückzahl]]="",erhalten[[#This Row],[Einzelpreis (brutto)]]=""),"",erhalten[[#This Row],[Stückzahl]]*erhalten[[#This Row],[Einzelpreis (brutto)]])</f>
        <v>431.40000000000003</v>
      </c>
    </row>
    <row r="16" spans="1:13" x14ac:dyDescent="0.3">
      <c r="A16">
        <v>4</v>
      </c>
      <c r="B16">
        <v>3</v>
      </c>
      <c r="C16">
        <v>26</v>
      </c>
      <c r="D16" t="s">
        <v>69</v>
      </c>
      <c r="E16" t="s">
        <v>57</v>
      </c>
      <c r="F16" t="s">
        <v>70</v>
      </c>
      <c r="G16" s="43">
        <v>35.950000000000003</v>
      </c>
      <c r="H16" s="43">
        <f>IF(OR(erhalten[[#This Row],[Stückzahl]]="",erhalten[[#This Row],[Einzelpreis (brutto)]]=""),"",erhalten[[#This Row],[Stückzahl]]*erhalten[[#This Row],[Einzelpreis (brutto)]])</f>
        <v>934.7</v>
      </c>
    </row>
    <row r="17" spans="1:8" x14ac:dyDescent="0.3">
      <c r="A17">
        <v>4</v>
      </c>
      <c r="B17">
        <v>4</v>
      </c>
      <c r="C17">
        <v>30</v>
      </c>
      <c r="D17" t="s">
        <v>129</v>
      </c>
      <c r="E17" t="s">
        <v>57</v>
      </c>
      <c r="F17" t="s">
        <v>130</v>
      </c>
      <c r="G17" s="43">
        <v>34.25</v>
      </c>
      <c r="H17" s="43">
        <f>IF(OR(erhalten[[#This Row],[Stückzahl]]="",erhalten[[#This Row],[Einzelpreis (brutto)]]=""),"",erhalten[[#This Row],[Stückzahl]]*erhalten[[#This Row],[Einzelpreis (brutto)]])</f>
        <v>1027.5</v>
      </c>
    </row>
    <row r="18" spans="1:8" x14ac:dyDescent="0.3">
      <c r="A18">
        <v>4</v>
      </c>
      <c r="B18">
        <v>5</v>
      </c>
      <c r="C18">
        <v>6</v>
      </c>
      <c r="D18" t="s">
        <v>131</v>
      </c>
      <c r="E18" t="s">
        <v>57</v>
      </c>
      <c r="F18" t="s">
        <v>132</v>
      </c>
      <c r="G18" s="43">
        <v>31.5</v>
      </c>
      <c r="H18" s="43">
        <f>IF(OR(erhalten[[#This Row],[Stückzahl]]="",erhalten[[#This Row],[Einzelpreis (brutto)]]=""),"",erhalten[[#This Row],[Stückzahl]]*erhalten[[#This Row],[Einzelpreis (brutto)]])</f>
        <v>189</v>
      </c>
    </row>
    <row r="19" spans="1:8" x14ac:dyDescent="0.3">
      <c r="A19">
        <v>4</v>
      </c>
      <c r="B19">
        <v>6</v>
      </c>
      <c r="C19">
        <v>14</v>
      </c>
      <c r="D19" t="s">
        <v>133</v>
      </c>
      <c r="E19" t="s">
        <v>57</v>
      </c>
      <c r="F19" t="s">
        <v>134</v>
      </c>
      <c r="G19" s="43">
        <v>23.75</v>
      </c>
      <c r="H19" s="43">
        <f>IF(OR(erhalten[[#This Row],[Stückzahl]]="",erhalten[[#This Row],[Einzelpreis (brutto)]]=""),"",erhalten[[#This Row],[Stückzahl]]*erhalten[[#This Row],[Einzelpreis (brutto)]])</f>
        <v>332.5</v>
      </c>
    </row>
    <row r="20" spans="1:8" x14ac:dyDescent="0.3">
      <c r="A20">
        <v>4</v>
      </c>
      <c r="B20">
        <v>7</v>
      </c>
      <c r="C20">
        <v>10</v>
      </c>
      <c r="D20" t="s">
        <v>135</v>
      </c>
      <c r="E20" t="s">
        <v>57</v>
      </c>
      <c r="F20" t="s">
        <v>136</v>
      </c>
      <c r="G20" s="43">
        <v>22.5</v>
      </c>
      <c r="H20" s="43">
        <f>IF(OR(erhalten[[#This Row],[Stückzahl]]="",erhalten[[#This Row],[Einzelpreis (brutto)]]=""),"",erhalten[[#This Row],[Stückzahl]]*erhalten[[#This Row],[Einzelpreis (brutto)]])</f>
        <v>225</v>
      </c>
    </row>
    <row r="21" spans="1:8" x14ac:dyDescent="0.3">
      <c r="A21">
        <v>5</v>
      </c>
      <c r="B21">
        <v>1</v>
      </c>
      <c r="C21">
        <v>27</v>
      </c>
      <c r="D21" t="s">
        <v>103</v>
      </c>
      <c r="E21" t="s">
        <v>54</v>
      </c>
      <c r="F21" t="s">
        <v>104</v>
      </c>
      <c r="G21" s="43">
        <v>30.99</v>
      </c>
      <c r="H21" s="43">
        <f>IF(OR(erhalten[[#This Row],[Stückzahl]]="",erhalten[[#This Row],[Einzelpreis (brutto)]]=""),"",erhalten[[#This Row],[Stückzahl]]*erhalten[[#This Row],[Einzelpreis (brutto)]])</f>
        <v>836.7299999999999</v>
      </c>
    </row>
    <row r="22" spans="1:8" x14ac:dyDescent="0.3">
      <c r="A22">
        <v>5</v>
      </c>
      <c r="B22">
        <v>2</v>
      </c>
      <c r="C22">
        <v>11</v>
      </c>
      <c r="D22" t="s">
        <v>113</v>
      </c>
      <c r="E22" t="s">
        <v>54</v>
      </c>
      <c r="F22" t="s">
        <v>114</v>
      </c>
      <c r="G22" s="43">
        <v>30.99</v>
      </c>
      <c r="H22" s="43">
        <f>IF(OR(erhalten[[#This Row],[Stückzahl]]="",erhalten[[#This Row],[Einzelpreis (brutto)]]=""),"",erhalten[[#This Row],[Stückzahl]]*erhalten[[#This Row],[Einzelpreis (brutto)]])</f>
        <v>340.89</v>
      </c>
    </row>
    <row r="23" spans="1:8" x14ac:dyDescent="0.3">
      <c r="A23">
        <v>5</v>
      </c>
      <c r="B23">
        <v>3</v>
      </c>
      <c r="C23">
        <v>20</v>
      </c>
      <c r="D23" t="s">
        <v>71</v>
      </c>
      <c r="E23" t="s">
        <v>54</v>
      </c>
      <c r="F23" t="s">
        <v>72</v>
      </c>
      <c r="G23" s="43">
        <v>24.25</v>
      </c>
      <c r="H23" s="43">
        <f>IF(OR(erhalten[[#This Row],[Stückzahl]]="",erhalten[[#This Row],[Einzelpreis (brutto)]]=""),"",erhalten[[#This Row],[Stückzahl]]*erhalten[[#This Row],[Einzelpreis (brutto)]])</f>
        <v>485</v>
      </c>
    </row>
    <row r="24" spans="1:8" x14ac:dyDescent="0.3">
      <c r="A24">
        <v>5</v>
      </c>
      <c r="B24">
        <v>3</v>
      </c>
      <c r="C24">
        <v>19</v>
      </c>
      <c r="D24" t="s">
        <v>71</v>
      </c>
      <c r="E24" t="s">
        <v>54</v>
      </c>
      <c r="F24" t="s">
        <v>72</v>
      </c>
      <c r="G24" s="43">
        <v>24.25</v>
      </c>
      <c r="H24" s="43">
        <f>IF(OR(erhalten[[#This Row],[Stückzahl]]="",erhalten[[#This Row],[Einzelpreis (brutto)]]=""),"",erhalten[[#This Row],[Stückzahl]]*erhalten[[#This Row],[Einzelpreis (brutto)]])</f>
        <v>460.75</v>
      </c>
    </row>
    <row r="25" spans="1:8" x14ac:dyDescent="0.3">
      <c r="A25">
        <v>5</v>
      </c>
      <c r="B25">
        <v>4</v>
      </c>
      <c r="C25">
        <v>19</v>
      </c>
      <c r="D25" t="s">
        <v>90</v>
      </c>
      <c r="E25" t="s">
        <v>54</v>
      </c>
      <c r="F25" t="s">
        <v>91</v>
      </c>
      <c r="G25" s="43">
        <v>36.99</v>
      </c>
      <c r="H25" s="43">
        <f>IF(OR(erhalten[[#This Row],[Stückzahl]]="",erhalten[[#This Row],[Einzelpreis (brutto)]]=""),"",erhalten[[#This Row],[Stückzahl]]*erhalten[[#This Row],[Einzelpreis (brutto)]])</f>
        <v>702.81000000000006</v>
      </c>
    </row>
    <row r="26" spans="1:8" x14ac:dyDescent="0.3">
      <c r="A26">
        <v>5</v>
      </c>
      <c r="B26">
        <v>5</v>
      </c>
      <c r="C26">
        <v>15</v>
      </c>
      <c r="D26" t="s">
        <v>95</v>
      </c>
      <c r="E26" t="s">
        <v>93</v>
      </c>
      <c r="F26" t="s">
        <v>96</v>
      </c>
      <c r="G26" s="43">
        <v>36.950000000000003</v>
      </c>
      <c r="H26" s="43">
        <f>IF(OR(erhalten[[#This Row],[Stückzahl]]="",erhalten[[#This Row],[Einzelpreis (brutto)]]=""),"",erhalten[[#This Row],[Stückzahl]]*erhalten[[#This Row],[Einzelpreis (brutto)]])</f>
        <v>554.25</v>
      </c>
    </row>
    <row r="27" spans="1:8" x14ac:dyDescent="0.3">
      <c r="A27">
        <v>5</v>
      </c>
      <c r="B27">
        <v>6</v>
      </c>
      <c r="C27">
        <v>10</v>
      </c>
      <c r="D27" t="s">
        <v>107</v>
      </c>
      <c r="E27" t="s">
        <v>93</v>
      </c>
      <c r="F27" t="s">
        <v>108</v>
      </c>
      <c r="G27" s="43">
        <v>36.950000000000003</v>
      </c>
      <c r="H27" s="43">
        <f>IF(OR(erhalten[[#This Row],[Stückzahl]]="",erhalten[[#This Row],[Einzelpreis (brutto)]]=""),"",erhalten[[#This Row],[Stückzahl]]*erhalten[[#This Row],[Einzelpreis (brutto)]])</f>
        <v>369.5</v>
      </c>
    </row>
    <row r="28" spans="1:8" x14ac:dyDescent="0.3">
      <c r="A28">
        <v>5</v>
      </c>
      <c r="B28">
        <v>7</v>
      </c>
      <c r="C28">
        <v>24</v>
      </c>
      <c r="D28" t="s">
        <v>92</v>
      </c>
      <c r="E28" t="s">
        <v>93</v>
      </c>
      <c r="F28" t="s">
        <v>94</v>
      </c>
      <c r="G28" s="43">
        <v>36.950000000000003</v>
      </c>
      <c r="H28" s="43">
        <f>IF(OR(erhalten[[#This Row],[Stückzahl]]="",erhalten[[#This Row],[Einzelpreis (brutto)]]=""),"",erhalten[[#This Row],[Stückzahl]]*erhalten[[#This Row],[Einzelpreis (brutto)]])</f>
        <v>886.80000000000007</v>
      </c>
    </row>
    <row r="29" spans="1:8" x14ac:dyDescent="0.3">
      <c r="A29">
        <v>5</v>
      </c>
      <c r="B29">
        <v>8</v>
      </c>
      <c r="C29">
        <v>15</v>
      </c>
      <c r="D29" t="s">
        <v>97</v>
      </c>
      <c r="E29" t="s">
        <v>93</v>
      </c>
      <c r="F29" t="s">
        <v>98</v>
      </c>
      <c r="G29" s="43">
        <v>25.95</v>
      </c>
      <c r="H29" s="43">
        <f>IF(OR(erhalten[[#This Row],[Stückzahl]]="",erhalten[[#This Row],[Einzelpreis (brutto)]]=""),"",erhalten[[#This Row],[Stückzahl]]*erhalten[[#This Row],[Einzelpreis (brutto)]])</f>
        <v>389.25</v>
      </c>
    </row>
    <row r="30" spans="1:8" x14ac:dyDescent="0.3">
      <c r="A30">
        <v>5</v>
      </c>
      <c r="B30">
        <v>9</v>
      </c>
      <c r="C30">
        <v>15</v>
      </c>
      <c r="D30" t="s">
        <v>99</v>
      </c>
      <c r="E30" t="s">
        <v>93</v>
      </c>
      <c r="F30" t="s">
        <v>100</v>
      </c>
      <c r="G30" s="43">
        <v>25.95</v>
      </c>
      <c r="H30" s="43">
        <f>IF(OR(erhalten[[#This Row],[Stückzahl]]="",erhalten[[#This Row],[Einzelpreis (brutto)]]=""),"",erhalten[[#This Row],[Stückzahl]]*erhalten[[#This Row],[Einzelpreis (brutto)]])</f>
        <v>389.25</v>
      </c>
    </row>
    <row r="31" spans="1:8" x14ac:dyDescent="0.3">
      <c r="A31">
        <v>5</v>
      </c>
      <c r="B31">
        <v>10</v>
      </c>
      <c r="C31">
        <v>27</v>
      </c>
      <c r="D31" t="s">
        <v>101</v>
      </c>
      <c r="E31" t="s">
        <v>93</v>
      </c>
      <c r="F31" t="s">
        <v>102</v>
      </c>
      <c r="G31" s="43">
        <v>40.950000000000003</v>
      </c>
      <c r="H31" s="43">
        <f>IF(OR(erhalten[[#This Row],[Stückzahl]]="",erhalten[[#This Row],[Einzelpreis (brutto)]]=""),"",erhalten[[#This Row],[Stückzahl]]*erhalten[[#This Row],[Einzelpreis (brutto)]])</f>
        <v>1105.6500000000001</v>
      </c>
    </row>
    <row r="32" spans="1:8" x14ac:dyDescent="0.3">
      <c r="A32">
        <v>6</v>
      </c>
      <c r="B32">
        <v>1</v>
      </c>
      <c r="C32">
        <v>6</v>
      </c>
      <c r="D32" t="s">
        <v>109</v>
      </c>
      <c r="E32" t="s">
        <v>57</v>
      </c>
      <c r="F32" t="s">
        <v>110</v>
      </c>
      <c r="G32" s="43">
        <v>31.5</v>
      </c>
      <c r="H32" s="43">
        <f>IF(OR(erhalten[[#This Row],[Stückzahl]]="",erhalten[[#This Row],[Einzelpreis (brutto)]]=""),"",erhalten[[#This Row],[Stückzahl]]*erhalten[[#This Row],[Einzelpreis (brutto)]])</f>
        <v>189</v>
      </c>
    </row>
    <row r="33" spans="1:8" x14ac:dyDescent="0.3">
      <c r="A33">
        <v>6</v>
      </c>
      <c r="B33">
        <v>2</v>
      </c>
      <c r="C33">
        <v>8</v>
      </c>
      <c r="D33" t="s">
        <v>111</v>
      </c>
      <c r="E33" t="s">
        <v>57</v>
      </c>
      <c r="F33" t="s">
        <v>112</v>
      </c>
      <c r="G33" s="43">
        <v>23.75</v>
      </c>
      <c r="H33" s="43">
        <f>IF(OR(erhalten[[#This Row],[Stückzahl]]="",erhalten[[#This Row],[Einzelpreis (brutto)]]=""),"",erhalten[[#This Row],[Stückzahl]]*erhalten[[#This Row],[Einzelpreis (brutto)]])</f>
        <v>190</v>
      </c>
    </row>
    <row r="34" spans="1:8" x14ac:dyDescent="0.3">
      <c r="A34">
        <v>6</v>
      </c>
      <c r="B34">
        <v>3</v>
      </c>
      <c r="C34">
        <v>5</v>
      </c>
      <c r="D34" t="s">
        <v>73</v>
      </c>
      <c r="E34" t="s">
        <v>57</v>
      </c>
      <c r="F34" t="s">
        <v>74</v>
      </c>
      <c r="G34" s="43">
        <v>35.950000000000003</v>
      </c>
      <c r="H34" s="43">
        <f>IF(OR(erhalten[[#This Row],[Stückzahl]]="",erhalten[[#This Row],[Einzelpreis (brutto)]]=""),"",erhalten[[#This Row],[Stückzahl]]*erhalten[[#This Row],[Einzelpreis (brutto)]])</f>
        <v>179.75</v>
      </c>
    </row>
    <row r="35" spans="1:8" x14ac:dyDescent="0.3">
      <c r="A35">
        <v>6</v>
      </c>
      <c r="B35">
        <v>3</v>
      </c>
      <c r="C35">
        <v>4</v>
      </c>
      <c r="D35" t="s">
        <v>73</v>
      </c>
      <c r="E35" t="s">
        <v>57</v>
      </c>
      <c r="F35" t="s">
        <v>74</v>
      </c>
      <c r="G35" s="43">
        <v>35.950000000000003</v>
      </c>
      <c r="H35" s="43">
        <f>IF(OR(erhalten[[#This Row],[Stückzahl]]="",erhalten[[#This Row],[Einzelpreis (brutto)]]=""),"",erhalten[[#This Row],[Stückzahl]]*erhalten[[#This Row],[Einzelpreis (brutto)]])</f>
        <v>143.80000000000001</v>
      </c>
    </row>
    <row r="36" spans="1:8" x14ac:dyDescent="0.3">
      <c r="A36">
        <v>6</v>
      </c>
      <c r="B36">
        <v>4</v>
      </c>
      <c r="C36">
        <v>8</v>
      </c>
      <c r="D36" t="s">
        <v>105</v>
      </c>
      <c r="E36" t="s">
        <v>57</v>
      </c>
      <c r="F36" t="s">
        <v>106</v>
      </c>
      <c r="G36" s="43">
        <v>23.25</v>
      </c>
      <c r="H36" s="43">
        <f>IF(OR(erhalten[[#This Row],[Stückzahl]]="",erhalten[[#This Row],[Einzelpreis (brutto)]]=""),"",erhalten[[#This Row],[Stückzahl]]*erhalten[[#This Row],[Einzelpreis (brutto)]])</f>
        <v>186</v>
      </c>
    </row>
    <row r="37" spans="1:8" x14ac:dyDescent="0.3">
      <c r="A37">
        <v>6</v>
      </c>
      <c r="B37">
        <v>5</v>
      </c>
      <c r="C37">
        <v>54</v>
      </c>
      <c r="D37" t="s">
        <v>86</v>
      </c>
      <c r="E37" t="s">
        <v>57</v>
      </c>
      <c r="F37" t="s">
        <v>87</v>
      </c>
      <c r="G37" s="43">
        <v>31.5</v>
      </c>
      <c r="H37" s="43">
        <f>IF(OR(erhalten[[#This Row],[Stückzahl]]="",erhalten[[#This Row],[Einzelpreis (brutto)]]=""),"",erhalten[[#This Row],[Stückzahl]]*erhalten[[#This Row],[Einzelpreis (brutto)]])</f>
        <v>1701</v>
      </c>
    </row>
    <row r="38" spans="1:8" x14ac:dyDescent="0.3">
      <c r="A38">
        <v>6</v>
      </c>
      <c r="B38">
        <v>6</v>
      </c>
      <c r="C38">
        <v>6</v>
      </c>
      <c r="D38" t="s">
        <v>75</v>
      </c>
      <c r="E38" t="s">
        <v>57</v>
      </c>
      <c r="F38" t="s">
        <v>76</v>
      </c>
      <c r="G38" s="43">
        <v>49.95</v>
      </c>
      <c r="H38" s="43">
        <f>IF(OR(erhalten[[#This Row],[Stückzahl]]="",erhalten[[#This Row],[Einzelpreis (brutto)]]=""),"",erhalten[[#This Row],[Stückzahl]]*erhalten[[#This Row],[Einzelpreis (brutto)]])</f>
        <v>299.70000000000005</v>
      </c>
    </row>
    <row r="39" spans="1:8" x14ac:dyDescent="0.3">
      <c r="A39">
        <v>6</v>
      </c>
      <c r="B39">
        <v>6</v>
      </c>
      <c r="C39">
        <v>8</v>
      </c>
      <c r="D39" t="s">
        <v>75</v>
      </c>
      <c r="E39" t="s">
        <v>57</v>
      </c>
      <c r="F39" t="s">
        <v>76</v>
      </c>
      <c r="G39" s="43">
        <v>49.95</v>
      </c>
      <c r="H39" s="43">
        <f>IF(OR(erhalten[[#This Row],[Stückzahl]]="",erhalten[[#This Row],[Einzelpreis (brutto)]]=""),"",erhalten[[#This Row],[Stückzahl]]*erhalten[[#This Row],[Einzelpreis (brutto)]])</f>
        <v>399.6</v>
      </c>
    </row>
    <row r="40" spans="1:8" x14ac:dyDescent="0.3">
      <c r="A40">
        <v>6</v>
      </c>
      <c r="B40">
        <v>7</v>
      </c>
      <c r="C40">
        <v>35</v>
      </c>
      <c r="D40" t="s">
        <v>88</v>
      </c>
      <c r="E40" t="s">
        <v>57</v>
      </c>
      <c r="F40" t="s">
        <v>89</v>
      </c>
      <c r="G40" s="43">
        <v>30.5</v>
      </c>
      <c r="H40" s="43">
        <f>IF(OR(erhalten[[#This Row],[Stückzahl]]="",erhalten[[#This Row],[Einzelpreis (brutto)]]=""),"",erhalten[[#This Row],[Stückzahl]]*erhalten[[#This Row],[Einzelpreis (brutto)]])</f>
        <v>1067.5</v>
      </c>
    </row>
    <row r="41" spans="1:8" x14ac:dyDescent="0.3">
      <c r="C41">
        <v>11</v>
      </c>
      <c r="D41" t="s">
        <v>85</v>
      </c>
      <c r="E41" t="s">
        <v>51</v>
      </c>
      <c r="F41" t="s">
        <v>60</v>
      </c>
      <c r="G41" s="43">
        <v>39.799999999999997</v>
      </c>
      <c r="H41" s="43">
        <f>IF(OR(erhalten[[#This Row],[Stückzahl]]="",erhalten[[#This Row],[Einzelpreis (brutto)]]=""),"",erhalten[[#This Row],[Stückzahl]]*erhalten[[#This Row],[Einzelpreis (brutto)]])</f>
        <v>437.79999999999995</v>
      </c>
    </row>
    <row r="42" spans="1:8" x14ac:dyDescent="0.3">
      <c r="C42">
        <v>13</v>
      </c>
      <c r="D42" t="s">
        <v>77</v>
      </c>
      <c r="E42" t="s">
        <v>51</v>
      </c>
      <c r="F42" t="s">
        <v>78</v>
      </c>
      <c r="G42" s="43">
        <v>29.5</v>
      </c>
      <c r="H42" s="43">
        <f>IF(OR(erhalten[[#This Row],[Stückzahl]]="",erhalten[[#This Row],[Einzelpreis (brutto)]]=""),"",erhalten[[#This Row],[Stückzahl]]*erhalten[[#This Row],[Einzelpreis (brutto)]])</f>
        <v>383.5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Bestand- und Nachbestellung</vt:lpstr>
      <vt:lpstr>zu Bestellen</vt:lpstr>
      <vt:lpstr>bestellt</vt:lpstr>
      <vt:lpstr>erhalten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Podleschny</dc:creator>
  <cp:lastModifiedBy>Lukas Podleschny</cp:lastModifiedBy>
  <cp:lastPrinted>2026-06-30T06:29:15Z</cp:lastPrinted>
  <dcterms:created xsi:type="dcterms:W3CDTF">2025-06-19T17:00:03Z</dcterms:created>
  <dcterms:modified xsi:type="dcterms:W3CDTF">2026-08-10T07:59:14Z</dcterms:modified>
</cp:coreProperties>
</file>